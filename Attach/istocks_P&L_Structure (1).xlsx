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st_Practices" sheetId="1" r:id="rId5"/>
    <sheet state="visible" name="Cost_structure (B2C)" sheetId="2" r:id="rId6"/>
    <sheet state="visible" name="Revenue_User_Waterfall (B2C)" sheetId="3" r:id="rId7"/>
    <sheet state="visible" name="P&amp;L (B2C)" sheetId="4" r:id="rId8"/>
    <sheet state="visible" name="Explanations" sheetId="5" r:id="rId9"/>
    <sheet state="visible" name="Competitive landscape" sheetId="6" r:id="rId10"/>
  </sheets>
  <definedNames/>
  <calcPr/>
</workbook>
</file>

<file path=xl/sharedStrings.xml><?xml version="1.0" encoding="utf-8"?>
<sst xmlns="http://schemas.openxmlformats.org/spreadsheetml/2006/main" count="298" uniqueCount="208">
  <si>
    <t>Best Practices</t>
  </si>
  <si>
    <r>
      <rPr>
        <rFont val="DM Sans"/>
        <b/>
        <color rgb="FFED5A6B"/>
        <sz val="10.0"/>
      </rPr>
      <t>Note</t>
    </r>
    <r>
      <rPr>
        <rFont val="DM Sans"/>
        <color rgb="FFED5A6B"/>
        <sz val="10.0"/>
      </rPr>
      <t>:</t>
    </r>
    <r>
      <rPr>
        <rFont val="DM Sans"/>
        <color rgb="FF000000"/>
        <sz val="10.0"/>
      </rPr>
      <t xml:space="preserve"> One of our invested companies created a P&amp;L of this quality, hence we created an example for all of you</t>
    </r>
  </si>
  <si>
    <t>Guidelines</t>
  </si>
  <si>
    <t>The P&amp;L is to indicate the depth of thinking, formulae linkages and flow we look for</t>
  </si>
  <si>
    <t>You can download this P&amp;L or create a copy to preserve all formuale and flow</t>
  </si>
  <si>
    <t>The P&amp;L example is for software companies, you should modify it for your sector or use case</t>
  </si>
  <si>
    <t>We have created assumptions and links to numbers to make it easier for you to create a P&amp;L</t>
  </si>
  <si>
    <t>Understanding each number can be done easily by following the formulae</t>
  </si>
  <si>
    <t xml:space="preserve">Please add as many sheets / details to explain what are driving your key numbers </t>
  </si>
  <si>
    <t>Please link as many numbers with underlying drivers to understand what are key levers</t>
  </si>
  <si>
    <t>Create the P&amp;L monthly and from left to right, rather than top to bottom</t>
  </si>
  <si>
    <t>Comma separate all your values so that it is easier to read</t>
  </si>
  <si>
    <t>Use INR only across the P&amp;L</t>
  </si>
  <si>
    <t>Have a consolidated view/summary on separate sheets</t>
  </si>
  <si>
    <r>
      <rPr>
        <rFont val="DM Sans"/>
        <color rgb="FF000000"/>
        <sz val="10.0"/>
        <u/>
      </rPr>
      <t xml:space="preserve">Use indentation for better reading [a script for Indentation in Google Sheets is </t>
    </r>
    <r>
      <rPr>
        <rFont val="DM Sans"/>
        <color rgb="FF1155CC"/>
        <sz val="10.0"/>
        <u/>
      </rPr>
      <t>here</t>
    </r>
    <r>
      <rPr>
        <rFont val="DM Sans"/>
        <color rgb="FF000000"/>
        <sz val="10.0"/>
        <u/>
      </rPr>
      <t>]</t>
    </r>
  </si>
  <si>
    <t>Breakdown revenue in as much detail and granularity as possible</t>
  </si>
  <si>
    <t>Breakdown customer acquisition and servicing in as much detail and granularity as possible</t>
  </si>
  <si>
    <t>Right align all numbers, left align all text</t>
  </si>
  <si>
    <t>Total</t>
  </si>
  <si>
    <t>Variable Cost / Customer</t>
  </si>
  <si>
    <t>No. of Users</t>
  </si>
  <si>
    <t>Total Fulfilment Structure</t>
  </si>
  <si>
    <t>     Market Data API cost</t>
  </si>
  <si>
    <t xml:space="preserve">     Cloud &amp; Server cost</t>
  </si>
  <si>
    <t>     LLM API cost</t>
  </si>
  <si>
    <t xml:space="preserve">     Brokerage Infra</t>
  </si>
  <si>
    <t>Team cost</t>
  </si>
  <si>
    <t>Full Time Team Members</t>
  </si>
  <si>
    <t>Total Team Cost</t>
  </si>
  <si>
    <t>Category</t>
  </si>
  <si>
    <t>Founder I</t>
  </si>
  <si>
    <t>     Management + Tech</t>
  </si>
  <si>
    <t>Founder II</t>
  </si>
  <si>
    <t>Marketing Associate I</t>
  </si>
  <si>
    <t>Marketing Associate II</t>
  </si>
  <si>
    <t>     Marketing</t>
  </si>
  <si>
    <t>Quant Developer I</t>
  </si>
  <si>
    <t>Tech</t>
  </si>
  <si>
    <t>Quant Developer II</t>
  </si>
  <si>
    <t>Legal &amp; Compliance</t>
  </si>
  <si>
    <t>Legal</t>
  </si>
  <si>
    <t>Android/iOS Developer</t>
  </si>
  <si>
    <t>General and admin</t>
  </si>
  <si>
    <t>Rent</t>
  </si>
  <si>
    <t>Internet</t>
  </si>
  <si>
    <t>Utilities &amp; Supplies</t>
  </si>
  <si>
    <t>Security &amp; Compliance</t>
  </si>
  <si>
    <t>Travel</t>
  </si>
  <si>
    <t>Meals and Entertainment</t>
  </si>
  <si>
    <t>Capital Expenditure</t>
  </si>
  <si>
    <t>Value Purchased</t>
  </si>
  <si>
    <t>Laptops and Other Equipment</t>
  </si>
  <si>
    <t>Workstations and Chairs</t>
  </si>
  <si>
    <t>Depreciation</t>
  </si>
  <si>
    <t>Subscription cost</t>
  </si>
  <si>
    <t>Token calculation per user</t>
  </si>
  <si>
    <t>Type</t>
  </si>
  <si>
    <t>Tokens</t>
  </si>
  <si>
    <t>Input (user query + context)</t>
  </si>
  <si>
    <t>Output (analysis + explanation)</t>
  </si>
  <si>
    <t>Subscription Plan</t>
  </si>
  <si>
    <t>Plan</t>
  </si>
  <si>
    <t>₹399</t>
  </si>
  <si>
    <t>₹999</t>
  </si>
  <si>
    <t>₹1499</t>
  </si>
  <si>
    <t>free</t>
  </si>
  <si>
    <t>Prompts / month</t>
  </si>
  <si>
    <t>Total tokens</t>
  </si>
  <si>
    <t>Price (₹)</t>
  </si>
  <si>
    <t>LLM Cost / user / month (₹)</t>
  </si>
  <si>
    <t>Gross Margin (before infra)</t>
  </si>
  <si>
    <t>Basic</t>
  </si>
  <si>
    <t>~94%</t>
  </si>
  <si>
    <t>Pro</t>
  </si>
  <si>
    <t>~90%</t>
  </si>
  <si>
    <t>Premium (Claude Opus 4.5)</t>
  </si>
  <si>
    <t xml:space="preserve">~23% </t>
  </si>
  <si>
    <t>Assumptions</t>
  </si>
  <si>
    <t>Infra cost (Growth monthlywise)</t>
  </si>
  <si>
    <t>General and Admin</t>
  </si>
  <si>
    <t>Team cost (Growth monthlywise)</t>
  </si>
  <si>
    <t>Month 3</t>
  </si>
  <si>
    <t>Legal &amp; Compliance Intern</t>
  </si>
  <si>
    <t>Asset Purchases</t>
  </si>
  <si>
    <t>Value</t>
  </si>
  <si>
    <t>Value (Per Person)</t>
  </si>
  <si>
    <t>Laptop</t>
  </si>
  <si>
    <t>Startup Benefits</t>
  </si>
  <si>
    <t>Cloud Service Provider Credits</t>
  </si>
  <si>
    <t>1,83,426</t>
  </si>
  <si>
    <t>$2000 = AWS + AZURE</t>
  </si>
  <si>
    <t>Currency</t>
  </si>
  <si>
    <t>USD/INR</t>
  </si>
  <si>
    <t>Ideas to reduce operational cost</t>
  </si>
  <si>
    <t>for every repetitve create basic agents or n8n workflow</t>
  </si>
  <si>
    <t>A contribution based development for accepted commit developer gets some amount like 500INR eg-: infinitest.tech</t>
  </si>
  <si>
    <t>Customer Acqusition and Retention Structure</t>
  </si>
  <si>
    <t>Marketing Spend (INR)</t>
  </si>
  <si>
    <t xml:space="preserve">     College visit</t>
  </si>
  <si>
    <t>baby traders</t>
  </si>
  <si>
    <t>     Trading Youtube channels</t>
  </si>
  <si>
    <t>Young traders</t>
  </si>
  <si>
    <t xml:space="preserve">     Telegram Channels</t>
  </si>
  <si>
    <t>Pro traders</t>
  </si>
  <si>
    <t xml:space="preserve">     Discord Channels</t>
  </si>
  <si>
    <t xml:space="preserve">Marketing spend into user conversion </t>
  </si>
  <si>
    <t xml:space="preserve">     Telegram channels</t>
  </si>
  <si>
    <t xml:space="preserve">Marketing spend into Paid user conversion </t>
  </si>
  <si>
    <t>Marketplace Funnel</t>
  </si>
  <si>
    <t>Youtube</t>
  </si>
  <si>
    <t xml:space="preserve">     Views</t>
  </si>
  <si>
    <t>     Clicks</t>
  </si>
  <si>
    <t>     Signups</t>
  </si>
  <si>
    <t>Telegram</t>
  </si>
  <si>
    <t xml:space="preserve">     Clicks</t>
  </si>
  <si>
    <t>Discord</t>
  </si>
  <si>
    <t xml:space="preserve">     Reaction into views</t>
  </si>
  <si>
    <t>Revenue Generation</t>
  </si>
  <si>
    <t>Total Customers</t>
  </si>
  <si>
    <t>Retail Traders</t>
  </si>
  <si>
    <t>Small Trading firms - small Brokers + 
sub brokers</t>
  </si>
  <si>
    <t>CA</t>
  </si>
  <si>
    <t>Paid Customers</t>
  </si>
  <si>
    <t>Revenue</t>
  </si>
  <si>
    <t>Retail Traders (INR)</t>
  </si>
  <si>
    <t>Small Trading firms - small Brokers + 
sub brokers (INR)</t>
  </si>
  <si>
    <t>CA (INR)</t>
  </si>
  <si>
    <t>Brokerage Charge</t>
  </si>
  <si>
    <t>Total customers Monthly Growth</t>
  </si>
  <si>
    <t>Month 1</t>
  </si>
  <si>
    <t>Month 2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</si>
  <si>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</si>
  <si>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</si>
  <si>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</si>
  <si>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</si>
  <si>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</si>
  <si>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</si>
  <si>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</si>
  <si>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</si>
  <si>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</si>
  <si>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</si>
  <si>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</si>
  <si>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</si>
  <si>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</si>
  <si>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</si>
  <si>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</si>
  <si>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 xml:space="preserve">Retail Traders </t>
  </si>
  <si>
    <t>Paid customers Monthly Growth</t>
  </si>
  <si>
    <t>P&amp;L (Values in INR)</t>
  </si>
  <si>
    <t>Gross Revenue</t>
  </si>
  <si>
    <t>Gross Incentives</t>
  </si>
  <si>
    <t>Discounts</t>
  </si>
  <si>
    <t>Net Revenue</t>
  </si>
  <si>
    <t>     Net Revenue %</t>
  </si>
  <si>
    <t>Cost of Revenue</t>
  </si>
  <si>
    <t>Gross margin</t>
  </si>
  <si>
    <t>Gross margin %</t>
  </si>
  <si>
    <t>Contribution margin</t>
  </si>
  <si>
    <t>Contribution margin %</t>
  </si>
  <si>
    <t>Marketing Spend (INR) %</t>
  </si>
  <si>
    <t>Team Cost</t>
  </si>
  <si>
    <t xml:space="preserve">     Management</t>
  </si>
  <si>
    <t xml:space="preserve">     Developer</t>
  </si>
  <si>
    <t xml:space="preserve">     Marketing</t>
  </si>
  <si>
    <t>PBIDTA</t>
  </si>
  <si>
    <t>PBT</t>
  </si>
  <si>
    <t>Taxes</t>
  </si>
  <si>
    <t>PAT</t>
  </si>
  <si>
    <t>PAT %</t>
  </si>
  <si>
    <t>Net Profit</t>
  </si>
  <si>
    <t>Cash Flow</t>
  </si>
  <si>
    <t>Assets</t>
  </si>
  <si>
    <t>Equipment and Others</t>
  </si>
  <si>
    <t>AJVC Cloud Credits</t>
  </si>
  <si>
    <t>     Credits Utilized</t>
  </si>
  <si>
    <t>Investment</t>
  </si>
  <si>
    <t>AJVC Investment</t>
  </si>
  <si>
    <t>Cash Flow Statement</t>
  </si>
  <si>
    <t>Cash Begin</t>
  </si>
  <si>
    <t>Cash Flow from Operating Activities</t>
  </si>
  <si>
    <t>Cash Flow from Financing Activities</t>
  </si>
  <si>
    <t>Cash Flow from Investing Activities</t>
  </si>
  <si>
    <t>Cash End</t>
  </si>
  <si>
    <t>Worst Case in Case 0 Revenue for 18 Months</t>
  </si>
  <si>
    <t>Total G&amp;A</t>
  </si>
  <si>
    <t>Funds Utilized</t>
  </si>
  <si>
    <t>Sebi fee</t>
  </si>
  <si>
    <t>Applicable only after we become a SEBI-registered broker. SEBI charges a turnover-based fee of 
₹10 per ₹1 crore of executed trading volume (i.e., 0.000001 × trading turnover).</t>
  </si>
  <si>
    <t>Trading volume</t>
  </si>
  <si>
    <t>Trading Volume refers to the total value of all buy and sell trades executed</t>
  </si>
  <si>
    <t>GlobalDatafeeds</t>
  </si>
  <si>
    <r>
      <rPr>
        <sz val="13.0"/>
      </rPr>
      <t xml:space="preserve">We plan to use GDF WebSocket API for real-time data. Below are the cost details. 
</t>
    </r>
    <r>
      <rPr>
        <color rgb="FF1155CC"/>
        <sz val="13.0"/>
        <u/>
      </rPr>
      <t>https://drive.google.com/file/d/1RKmgtAIpqGMickBIWK3pIdp6PzT4YkyJ/view?usp=sharing</t>
    </r>
  </si>
  <si>
    <t>NSE DATA</t>
  </si>
  <si>
    <r>
      <rPr>
        <sz val="13.0"/>
      </rPr>
      <t xml:space="preserve">After becoming broker in Jan27 we will take all segments data from NSE directly
</t>
    </r>
    <r>
      <rPr>
        <color rgb="FF1155CC"/>
        <sz val="13.0"/>
        <u/>
      </rPr>
      <t>https://www.nseindia.com/static/market-data/real-time-data-subscription</t>
    </r>
  </si>
  <si>
    <t>High jump Dec26-Jan27</t>
  </si>
  <si>
    <t>we will be apply for broker at the end of this year</t>
  </si>
  <si>
    <t>we are going to spend 50K/- month on two youtube channels as 1 ad on each</t>
  </si>
  <si>
    <t>We believe that Discord delivers better outcomes than Telegram and YouTube, as it attracts higher-quality traders 
and enables deeper, more meaningful engagement.</t>
  </si>
  <si>
    <t>Cloud server</t>
  </si>
  <si>
    <t xml:space="preserve">Component, EC2 (2× t3.medium), RDS PostgreSQL, Load Balancer, 
Data Transfer, Storage + Backup, CloudWatch </t>
  </si>
  <si>
    <t>College visit</t>
  </si>
  <si>
    <t>Every month total 5 college visit</t>
  </si>
  <si>
    <t>Models</t>
  </si>
  <si>
    <t>we are going to use Claude opus 4.5, gemini 3 pro</t>
  </si>
  <si>
    <t>Laptop purchase</t>
  </si>
  <si>
    <t>mac m4  24gb, 48gb variants for doing multitask works like training models
, android and web development simultaneously, contains 16 core gpu
so help in design future simulation in equity and derivatives</t>
  </si>
  <si>
    <t>Competitive landscape</t>
  </si>
  <si>
    <t>https://drive.google.com/file/d/1GlDpYjiDuNZKbMoYQAe5ccXX4AjDWmYw/view?usp=sharing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</si>
</sst>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;(#,##0)"/>
    <numFmt numFmtId="165" formatCode="0.0%"/>
    <numFmt numFmtId="166" formatCode="&quot;Month&quot; #"/>
    <numFmt numFmtId="167" formatCode="&quot;$&quot;#,##0"/>
    <numFmt numFmtId="168" formatCode="0.0"/>
    <numFmt numFmtId="169" formatCode="&quot; &quot;mmm&quot; &quot;yy"/>
  </numFmts>
  <fonts count="28">
    <font>
      <sz val="10.0"/>
      <color rgb="FF000000"/>
      <name val="Arial"/>
      <scheme val="minor"/>
    </font>
    <font>
      <b/>
      <sz val="10.0"/>
      <color rgb="FFFFFFFF"/>
      <name val="DM Sans"/>
    </font>
    <font>
      <sz val="10.0"/>
      <color theme="1"/>
      <name val="DM Sans"/>
    </font>
    <font>
      <b/>
      <sz val="10.0"/>
      <color rgb="FF000000"/>
      <name val="DM Sans"/>
    </font>
    <font>
      <sz val="10.0"/>
      <color rgb="FF000000"/>
      <name val="DM Sans"/>
    </font>
    <font>
      <b/>
      <sz val="10.0"/>
      <color theme="0"/>
      <name val="DM Sans"/>
    </font>
    <font>
      <u/>
      <sz val="10.0"/>
      <color rgb="FF000000"/>
      <name val="DM Sans"/>
    </font>
    <font>
      <i/>
      <sz val="10.0"/>
      <color theme="1"/>
      <name val="DM Sans"/>
    </font>
    <font>
      <b/>
      <sz val="10.0"/>
      <color theme="1"/>
      <name val="DM Sans"/>
    </font>
    <font>
      <b/>
      <i/>
      <sz val="10.0"/>
      <color theme="1"/>
      <name val="DM Sans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DM Sans"/>
    </font>
    <font>
      <color theme="0"/>
      <name val="Arial"/>
      <scheme val="minor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DM Sans"/>
    </font>
    <font>
      <b/>
      <color rgb="FFFFFFFF"/>
      <name val="DM Sans"/>
    </font>
    <font>
      <b/>
      <color rgb="FF000000"/>
      <name val="DM Sans"/>
    </font>
    <font>
      <color rgb="FFFFFFFF"/>
      <name val="DM Sans"/>
    </font>
    <font>
      <color rgb="FF000000"/>
      <name val="DM Sans"/>
    </font>
    <font>
      <color rgb="FF000000"/>
      <name val="Arial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rgb="FF0000FF"/>
    </font>
    <font>
      <u/>
      <sz val="13.0"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ED5A6B"/>
        <bgColor rgb="FFED5A6B"/>
      </patternFill>
    </fill>
    <fill>
      <patternFill patternType="solid">
        <fgColor rgb="FF2281C7"/>
        <bgColor rgb="FF2281C7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center"/>
    </xf>
    <xf borderId="0" fillId="2" fontId="1" numFmtId="164" xfId="0" applyAlignment="1" applyFill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center"/>
    </xf>
    <xf borderId="0" fillId="0" fontId="4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3" fontId="1" numFmtId="164" xfId="0" applyAlignment="1" applyFont="1" applyNumberFormat="1">
      <alignment horizontal="center"/>
    </xf>
    <xf borderId="0" fillId="3" fontId="5" numFmtId="0" xfId="0" applyAlignment="1" applyFont="1">
      <alignment vertical="bottom"/>
    </xf>
    <xf borderId="0" fillId="3" fontId="5" numFmtId="164" xfId="0" applyAlignment="1" applyFont="1" applyNumberFormat="1">
      <alignment horizontal="center"/>
    </xf>
    <xf borderId="0" fillId="0" fontId="6" numFmtId="0" xfId="0" applyAlignment="1" applyFont="1">
      <alignment readingOrder="0" vertical="bottom"/>
    </xf>
    <xf borderId="0" fillId="0" fontId="7" numFmtId="0" xfId="0" applyFont="1"/>
    <xf borderId="0" fillId="0" fontId="7" numFmtId="10" xfId="0" applyFont="1" applyNumberFormat="1"/>
    <xf borderId="0" fillId="0" fontId="7" numFmtId="164" xfId="0" applyFont="1" applyNumberFormat="1"/>
    <xf borderId="0" fillId="0" fontId="8" numFmtId="0" xfId="0" applyFont="1"/>
    <xf borderId="0" fillId="0" fontId="8" numFmtId="164" xfId="0" applyFont="1" applyNumberFormat="1"/>
    <xf borderId="0" fillId="0" fontId="2" numFmtId="10" xfId="0" applyFont="1" applyNumberFormat="1"/>
    <xf borderId="0" fillId="0" fontId="2" numFmtId="164" xfId="0" applyFont="1" applyNumberFormat="1"/>
    <xf borderId="0" fillId="0" fontId="9" numFmtId="164" xfId="0" applyFont="1" applyNumberFormat="1"/>
    <xf borderId="0" fillId="0" fontId="2" numFmtId="0" xfId="0" applyAlignment="1" applyFont="1">
      <alignment horizontal="center"/>
    </xf>
    <xf borderId="0" fillId="0" fontId="2" numFmtId="4" xfId="0" applyFont="1" applyNumberFormat="1"/>
    <xf borderId="0" fillId="0" fontId="2" numFmtId="9" xfId="0" applyFont="1" applyNumberFormat="1"/>
    <xf borderId="0" fillId="0" fontId="2" numFmtId="165" xfId="0" applyFont="1" applyNumberFormat="1"/>
    <xf borderId="0" fillId="0" fontId="2" numFmtId="3" xfId="0" applyFont="1" applyNumberFormat="1"/>
    <xf borderId="0" fillId="0" fontId="10" numFmtId="0" xfId="0" applyAlignment="1" applyFont="1">
      <alignment readingOrder="0"/>
    </xf>
    <xf borderId="0" fillId="0" fontId="10" numFmtId="166" xfId="0" applyAlignment="1" applyFont="1" applyNumberFormat="1">
      <alignment readingOrder="0"/>
    </xf>
    <xf borderId="0" fillId="0" fontId="10" numFmtId="166" xfId="0" applyFont="1" applyNumberFormat="1"/>
    <xf borderId="0" fillId="0" fontId="10" numFmtId="0" xfId="0" applyFont="1"/>
    <xf borderId="0" fillId="4" fontId="11" numFmtId="166" xfId="0" applyFill="1" applyFont="1" applyNumberFormat="1"/>
    <xf borderId="0" fillId="4" fontId="10" numFmtId="166" xfId="0" applyFont="1" applyNumberFormat="1"/>
    <xf borderId="0" fillId="4" fontId="10" numFmtId="0" xfId="0" applyFont="1"/>
    <xf borderId="0" fillId="0" fontId="10" numFmtId="49" xfId="0" applyAlignment="1" applyFont="1" applyNumberFormat="1">
      <alignment readingOrder="0"/>
    </xf>
    <xf borderId="0" fillId="0" fontId="12" numFmtId="3" xfId="0" applyAlignment="1" applyFont="1" applyNumberFormat="1">
      <alignment horizontal="right" vertical="bottom"/>
    </xf>
    <xf borderId="0" fillId="0" fontId="12" numFmtId="3" xfId="0" applyAlignment="1" applyFont="1" applyNumberFormat="1">
      <alignment horizontal="right" readingOrder="0" vertical="bottom"/>
    </xf>
    <xf borderId="0" fillId="0" fontId="10" numFmtId="49" xfId="0" applyFont="1" applyNumberFormat="1"/>
    <xf borderId="0" fillId="0" fontId="10" numFmtId="3" xfId="0" applyFont="1" applyNumberFormat="1"/>
    <xf borderId="0" fillId="4" fontId="11" numFmtId="0" xfId="0" applyAlignment="1" applyFont="1">
      <alignment readingOrder="0"/>
    </xf>
    <xf borderId="0" fillId="4" fontId="11" numFmtId="0" xfId="0" applyFont="1"/>
    <xf borderId="0" fillId="4" fontId="11" numFmtId="0" xfId="0" applyFont="1"/>
    <xf borderId="0" fillId="0" fontId="10" numFmtId="3" xfId="0" applyAlignment="1" applyFont="1" applyNumberFormat="1">
      <alignment readingOrder="0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4" fontId="13" numFmtId="0" xfId="0" applyAlignment="1" applyFont="1">
      <alignment readingOrder="0"/>
    </xf>
    <xf borderId="0" fillId="4" fontId="10" numFmtId="0" xfId="0" applyFont="1"/>
    <xf borderId="0" fillId="4" fontId="14" numFmtId="0" xfId="0" applyAlignment="1" applyFont="1">
      <alignment vertical="bottom"/>
    </xf>
    <xf borderId="0" fillId="4" fontId="15" numFmtId="0" xfId="0" applyAlignment="1" applyFont="1">
      <alignment vertical="bottom"/>
    </xf>
    <xf borderId="0" fillId="4" fontId="15" numFmtId="3" xfId="0" applyAlignment="1" applyFont="1" applyNumberFormat="1">
      <alignment vertical="bottom"/>
    </xf>
    <xf borderId="0" fillId="5" fontId="16" numFmtId="0" xfId="0" applyAlignment="1" applyFill="1" applyFont="1">
      <alignment vertical="bottom"/>
    </xf>
    <xf borderId="0" fillId="5" fontId="15" numFmtId="0" xfId="0" applyAlignment="1" applyFont="1">
      <alignment vertical="bottom"/>
    </xf>
    <xf borderId="0" fillId="5" fontId="15" numFmtId="3" xfId="0" applyAlignment="1" applyFont="1" applyNumberFormat="1">
      <alignment vertical="bottom"/>
    </xf>
    <xf borderId="0" fillId="0" fontId="16" numFmtId="0" xfId="0" applyAlignment="1" applyFont="1">
      <alignment horizontal="left" vertical="bottom"/>
    </xf>
    <xf borderId="0" fillId="0" fontId="15" numFmtId="3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16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0" fontId="15" numFmtId="3" xfId="0" applyAlignment="1" applyFont="1" applyNumberFormat="1">
      <alignment readingOrder="0" vertical="bottom"/>
    </xf>
    <xf borderId="0" fillId="0" fontId="15" numFmtId="3" xfId="0" applyAlignment="1" applyFont="1" applyNumberFormat="1">
      <alignment horizontal="left" readingOrder="0" vertical="bottom"/>
    </xf>
    <xf borderId="0" fillId="0" fontId="10" numFmtId="3" xfId="0" applyAlignment="1" applyFont="1" applyNumberFormat="1">
      <alignment horizontal="left" readingOrder="0"/>
    </xf>
    <xf borderId="0" fillId="0" fontId="17" numFmtId="0" xfId="0" applyAlignment="1" applyFont="1">
      <alignment horizontal="left" readingOrder="0"/>
    </xf>
    <xf borderId="0" fillId="0" fontId="17" numFmtId="3" xfId="0" applyAlignment="1" applyFont="1" applyNumberFormat="1">
      <alignment horizontal="left" readingOrder="0"/>
    </xf>
    <xf borderId="0" fillId="0" fontId="17" numFmtId="0" xfId="0" applyAlignment="1" applyFont="1">
      <alignment readingOrder="0"/>
    </xf>
    <xf borderId="0" fillId="0" fontId="10" numFmtId="9" xfId="0" applyFont="1" applyNumberFormat="1"/>
    <xf borderId="0" fillId="0" fontId="10" numFmtId="165" xfId="0" applyAlignment="1" applyFont="1" applyNumberFormat="1">
      <alignment readingOrder="0"/>
    </xf>
    <xf borderId="0" fillId="0" fontId="10" numFmtId="9" xfId="0" applyAlignment="1" applyFont="1" applyNumberFormat="1">
      <alignment readingOrder="0"/>
    </xf>
    <xf borderId="0" fillId="0" fontId="17" numFmtId="0" xfId="0" applyFont="1"/>
    <xf borderId="0" fillId="0" fontId="10" numFmtId="166" xfId="0" applyAlignment="1" applyFont="1" applyNumberFormat="1">
      <alignment horizontal="center" readingOrder="0"/>
    </xf>
    <xf borderId="0" fillId="0" fontId="10" numFmtId="167" xfId="0" applyAlignment="1" applyFont="1" applyNumberFormat="1">
      <alignment readingOrder="0"/>
    </xf>
    <xf borderId="0" fillId="0" fontId="10" numFmtId="168" xfId="0" applyAlignment="1" applyFont="1" applyNumberFormat="1">
      <alignment readingOrder="0"/>
    </xf>
    <xf borderId="0" fillId="6" fontId="11" numFmtId="0" xfId="0" applyAlignment="1" applyFill="1" applyFont="1">
      <alignment readingOrder="0"/>
    </xf>
    <xf borderId="0" fillId="6" fontId="10" numFmtId="0" xfId="0" applyFont="1"/>
    <xf borderId="0" fillId="0" fontId="18" numFmtId="0" xfId="0" applyAlignment="1" applyFont="1">
      <alignment readingOrder="0"/>
    </xf>
    <xf borderId="0" fillId="0" fontId="19" numFmtId="166" xfId="0" applyFont="1" applyNumberFormat="1"/>
    <xf borderId="1" fillId="0" fontId="20" numFmtId="166" xfId="0" applyBorder="1" applyFont="1" applyNumberFormat="1"/>
    <xf borderId="0" fillId="0" fontId="21" numFmtId="0" xfId="0" applyFont="1"/>
    <xf borderId="0" fillId="4" fontId="19" numFmtId="166" xfId="0" applyFont="1" applyNumberFormat="1"/>
    <xf borderId="0" fillId="4" fontId="21" numFmtId="166" xfId="0" applyFont="1" applyNumberFormat="1"/>
    <xf borderId="0" fillId="4" fontId="21" numFmtId="0" xfId="0" applyFont="1"/>
    <xf borderId="0" fillId="0" fontId="18" numFmtId="0" xfId="0" applyFont="1"/>
    <xf borderId="0" fillId="0" fontId="18" numFmtId="166" xfId="0" applyFont="1" applyNumberFormat="1"/>
    <xf borderId="0" fillId="0" fontId="20" numFmtId="0" xfId="0" applyFont="1"/>
    <xf borderId="0" fillId="0" fontId="22" numFmtId="0" xfId="0" applyAlignment="1" applyFont="1">
      <alignment readingOrder="0"/>
    </xf>
    <xf borderId="0" fillId="0" fontId="18" numFmtId="3" xfId="0" applyAlignment="1" applyFont="1" applyNumberFormat="1">
      <alignment readingOrder="0"/>
    </xf>
    <xf borderId="0" fillId="0" fontId="23" numFmtId="0" xfId="0" applyAlignment="1" applyFont="1">
      <alignment readingOrder="0"/>
    </xf>
    <xf borderId="0" fillId="0" fontId="22" numFmtId="0" xfId="0" applyFont="1"/>
    <xf borderId="0" fillId="0" fontId="20" numFmtId="0" xfId="0" applyAlignment="1" applyFont="1">
      <alignment readingOrder="0"/>
    </xf>
    <xf borderId="0" fillId="0" fontId="18" numFmtId="3" xfId="0" applyFont="1" applyNumberFormat="1"/>
    <xf borderId="0" fillId="0" fontId="18" numFmtId="165" xfId="0" applyFont="1" applyNumberFormat="1"/>
    <xf borderId="0" fillId="4" fontId="19" numFmtId="0" xfId="0" applyFont="1"/>
    <xf borderId="0" fillId="0" fontId="12" numFmtId="3" xfId="0" applyFont="1" applyNumberFormat="1"/>
    <xf borderId="0" fillId="0" fontId="18" numFmtId="4" xfId="0" applyFont="1" applyNumberFormat="1"/>
    <xf borderId="0" fillId="0" fontId="18" numFmtId="1" xfId="0" applyAlignment="1" applyFont="1" applyNumberFormat="1">
      <alignment readingOrder="0"/>
    </xf>
    <xf borderId="0" fillId="0" fontId="18" numFmtId="1" xfId="0" applyFont="1" applyNumberFormat="1"/>
    <xf borderId="0" fillId="0" fontId="18" numFmtId="0" xfId="0" applyFont="1"/>
    <xf borderId="0" fillId="0" fontId="12" numFmtId="0" xfId="0" applyAlignment="1" applyFont="1">
      <alignment readingOrder="0"/>
    </xf>
    <xf borderId="1" fillId="0" fontId="20" numFmtId="166" xfId="0" applyAlignment="1" applyBorder="1" applyFont="1" applyNumberFormat="1">
      <alignment readingOrder="0"/>
    </xf>
    <xf borderId="1" fillId="0" fontId="20" numFmtId="166" xfId="0" applyAlignment="1" applyBorder="1" applyFont="1" applyNumberFormat="1">
      <alignment horizontal="center" readingOrder="0"/>
    </xf>
    <xf borderId="0" fillId="0" fontId="12" numFmtId="3" xfId="0" applyAlignment="1" applyFont="1" applyNumberFormat="1">
      <alignment horizontal="center" readingOrder="0"/>
    </xf>
    <xf borderId="0" fillId="0" fontId="12" numFmtId="3" xfId="0" applyAlignment="1" applyFont="1" applyNumberFormat="1">
      <alignment readingOrder="0"/>
    </xf>
    <xf borderId="0" fillId="0" fontId="18" numFmtId="10" xfId="0" applyAlignment="1" applyFont="1" applyNumberFormat="1">
      <alignment readingOrder="0"/>
    </xf>
    <xf borderId="1" fillId="4" fontId="19" numFmtId="166" xfId="0" applyBorder="1" applyFont="1" applyNumberFormat="1"/>
    <xf borderId="1" fillId="4" fontId="19" numFmtId="169" xfId="0" applyBorder="1" applyFont="1" applyNumberFormat="1"/>
    <xf borderId="1" fillId="4" fontId="19" numFmtId="166" xfId="0" applyAlignment="1" applyBorder="1" applyFont="1" applyNumberFormat="1">
      <alignment vertical="bottom"/>
    </xf>
    <xf borderId="1" fillId="4" fontId="19" numFmtId="169" xfId="0" applyAlignment="1" applyBorder="1" applyFont="1" applyNumberFormat="1">
      <alignment horizontal="right" vertical="bottom"/>
    </xf>
    <xf borderId="0" fillId="0" fontId="12" numFmtId="164" xfId="0" applyFont="1" applyNumberFormat="1"/>
    <xf borderId="0" fillId="0" fontId="18" numFmtId="164" xfId="0" applyFont="1" applyNumberFormat="1"/>
    <xf borderId="0" fillId="0" fontId="12" numFmtId="0" xfId="0" applyFont="1"/>
    <xf borderId="0" fillId="0" fontId="12" numFmtId="10" xfId="0" applyFont="1" applyNumberFormat="1"/>
    <xf borderId="0" fillId="0" fontId="12" numFmtId="10" xfId="0" applyAlignment="1" applyFont="1" applyNumberFormat="1">
      <alignment readingOrder="0"/>
    </xf>
    <xf borderId="0" fillId="0" fontId="18" numFmtId="164" xfId="0" applyAlignment="1" applyFont="1" applyNumberFormat="1">
      <alignment readingOrder="0"/>
    </xf>
    <xf borderId="0" fillId="0" fontId="12" numFmtId="164" xfId="0" applyAlignment="1" applyFont="1" applyNumberFormat="1">
      <alignment readingOrder="0"/>
    </xf>
    <xf borderId="0" fillId="0" fontId="18" numFmtId="10" xfId="0" applyFont="1" applyNumberFormat="1"/>
    <xf borderId="0" fillId="0" fontId="18" numFmtId="4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4" fontId="19" numFmtId="0" xfId="0" applyAlignment="1" applyFont="1">
      <alignment vertical="bottom"/>
    </xf>
    <xf borderId="0" fillId="4" fontId="15" numFmtId="164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5" numFmtId="10" xfId="0" applyAlignment="1" applyFont="1" applyNumberFormat="1">
      <alignment vertical="bottom"/>
    </xf>
    <xf borderId="0" fillId="0" fontId="18" numFmtId="3" xfId="0" applyAlignment="1" applyFont="1" applyNumberFormat="1">
      <alignment horizontal="right" vertical="bottom"/>
    </xf>
    <xf borderId="0" fillId="4" fontId="21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5" numFmtId="0" xfId="0" applyFont="1"/>
    <xf borderId="0" fillId="0" fontId="26" numFmtId="0" xfId="0" applyAlignment="1" applyFont="1">
      <alignment readingOrder="0"/>
    </xf>
    <xf borderId="0" fillId="0" fontId="24" numFmtId="0" xfId="0" applyAlignment="1" applyFont="1">
      <alignment horizontal="left" readingOrder="0"/>
    </xf>
    <xf borderId="0" fillId="0" fontId="24" numFmtId="0" xfId="0" applyAlignment="1" applyFont="1">
      <alignment horizontal="center" readingOrder="0"/>
    </xf>
    <xf borderId="0" fillId="0" fontId="25" numFmtId="0" xfId="0" applyAlignment="1" applyFont="1">
      <alignment horizontal="left" readingOrder="0"/>
    </xf>
    <xf borderId="0" fillId="0" fontId="27" numFmtId="0" xfId="0" applyAlignment="1" applyFont="1">
      <alignment horizontal="left" readingOrder="0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0</xdr:row>
      <xdr:rowOff>0</xdr:rowOff>
    </xdr:from>
    <xdr:ext cx="828675" cy="466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st.github.com/lstude/48b77d77a8a49c142e9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KmgtAIpqGMickBIWK3pIdp6PzT4YkyJ/view?usp=sharing" TargetMode="External"/><Relationship Id="rId2" Type="http://schemas.openxmlformats.org/officeDocument/2006/relationships/hyperlink" Target="https://www.nseindia.com/static/market-data/real-time-data-subscription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lDpYjiDuNZKbMoYQAe5ccXX4AjDWmYw/view?usp=sharing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1.88"/>
    <col customWidth="1" min="2" max="4" width="12.63"/>
    <col customWidth="1" min="5" max="5" width="17.38"/>
    <col customWidth="1" hidden="1" min="6" max="21" width="12.63"/>
  </cols>
  <sheetData>
    <row r="1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5"/>
      <c r="V1" s="5"/>
      <c r="W1" s="5"/>
      <c r="X1" s="5"/>
      <c r="Y1" s="5"/>
      <c r="Z1" s="5"/>
    </row>
    <row r="2" ht="15.75" customHeight="1">
      <c r="A2" s="1" t="s">
        <v>0</v>
      </c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5"/>
      <c r="V2" s="5"/>
      <c r="W2" s="5"/>
      <c r="X2" s="5"/>
      <c r="Y2" s="5"/>
      <c r="Z2" s="5"/>
    </row>
    <row r="3" ht="15.75" customHeight="1">
      <c r="A3" s="6"/>
      <c r="B3" s="7"/>
      <c r="C3" s="7"/>
      <c r="D3" s="7"/>
      <c r="E3" s="7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5"/>
      <c r="V3" s="5"/>
      <c r="W3" s="5"/>
      <c r="X3" s="5"/>
      <c r="Y3" s="5"/>
      <c r="Z3" s="5"/>
    </row>
    <row r="4" ht="15.75" customHeight="1">
      <c r="A4" s="8" t="s">
        <v>1</v>
      </c>
      <c r="B4" s="7"/>
      <c r="C4" s="7"/>
      <c r="D4" s="7"/>
      <c r="E4" s="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5"/>
      <c r="V4" s="5"/>
      <c r="W4" s="5"/>
      <c r="X4" s="5"/>
      <c r="Y4" s="5"/>
      <c r="Z4" s="5"/>
    </row>
    <row r="5" ht="15.75" customHeight="1">
      <c r="A5" s="8"/>
      <c r="B5" s="7"/>
      <c r="C5" s="7"/>
      <c r="D5" s="7"/>
      <c r="E5" s="7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5"/>
      <c r="V5" s="5"/>
      <c r="W5" s="5"/>
      <c r="X5" s="5"/>
      <c r="Y5" s="5"/>
      <c r="Z5" s="5"/>
    </row>
    <row r="6" ht="15.75" customHeight="1">
      <c r="A6" s="9" t="s">
        <v>2</v>
      </c>
      <c r="B6" s="10"/>
      <c r="C6" s="10"/>
      <c r="D6" s="10"/>
      <c r="E6" s="10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  <c r="U6" s="5"/>
      <c r="V6" s="5"/>
      <c r="W6" s="5"/>
      <c r="X6" s="5"/>
      <c r="Y6" s="5"/>
      <c r="Z6" s="5"/>
    </row>
    <row r="7" ht="15.75" customHeight="1">
      <c r="A7" s="8" t="s">
        <v>3</v>
      </c>
      <c r="B7" s="7"/>
      <c r="C7" s="7"/>
      <c r="D7" s="7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  <c r="U7" s="5"/>
      <c r="V7" s="5"/>
      <c r="W7" s="5"/>
      <c r="X7" s="5"/>
      <c r="Y7" s="5"/>
      <c r="Z7" s="5"/>
    </row>
    <row r="8" ht="15.75" customHeight="1">
      <c r="A8" s="8" t="s">
        <v>4</v>
      </c>
      <c r="B8" s="7"/>
      <c r="C8" s="7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4"/>
      <c r="U8" s="5"/>
      <c r="V8" s="5"/>
      <c r="W8" s="5"/>
      <c r="X8" s="5"/>
      <c r="Y8" s="5"/>
      <c r="Z8" s="5"/>
    </row>
    <row r="9" ht="15.75" customHeight="1">
      <c r="A9" s="8" t="s">
        <v>5</v>
      </c>
      <c r="B9" s="7"/>
      <c r="C9" s="7"/>
      <c r="D9" s="7"/>
      <c r="E9" s="7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4"/>
      <c r="U9" s="5"/>
      <c r="V9" s="5"/>
      <c r="W9" s="5"/>
      <c r="X9" s="5"/>
      <c r="Y9" s="5"/>
      <c r="Z9" s="5"/>
    </row>
    <row r="10" ht="15.75" customHeight="1">
      <c r="A10" s="8" t="s">
        <v>6</v>
      </c>
      <c r="B10" s="7"/>
      <c r="C10" s="7"/>
      <c r="D10" s="7"/>
      <c r="E10" s="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4"/>
      <c r="U10" s="5"/>
      <c r="V10" s="5"/>
      <c r="W10" s="5"/>
      <c r="X10" s="5"/>
      <c r="Y10" s="5"/>
      <c r="Z10" s="5"/>
    </row>
    <row r="11" ht="15.75" customHeight="1">
      <c r="A11" s="8" t="s">
        <v>7</v>
      </c>
      <c r="B11" s="7"/>
      <c r="C11" s="7"/>
      <c r="D11" s="7"/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4"/>
      <c r="U11" s="5"/>
      <c r="V11" s="5"/>
      <c r="W11" s="5"/>
      <c r="X11" s="5"/>
      <c r="Y11" s="5"/>
      <c r="Z11" s="5"/>
    </row>
    <row r="12" ht="15.75" customHeight="1">
      <c r="A12" s="8" t="s">
        <v>8</v>
      </c>
      <c r="B12" s="7"/>
      <c r="C12" s="7"/>
      <c r="D12" s="7"/>
      <c r="E12" s="7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4"/>
      <c r="U12" s="5"/>
      <c r="V12" s="5"/>
      <c r="W12" s="5"/>
      <c r="X12" s="5"/>
      <c r="Y12" s="5"/>
      <c r="Z12" s="5"/>
    </row>
    <row r="13" ht="15.75" customHeight="1">
      <c r="A13" s="8" t="s">
        <v>9</v>
      </c>
      <c r="B13" s="7"/>
      <c r="C13" s="7"/>
      <c r="D13" s="7"/>
      <c r="E13" s="7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4"/>
      <c r="U13" s="5"/>
      <c r="V13" s="5"/>
      <c r="W13" s="5"/>
      <c r="X13" s="5"/>
      <c r="Y13" s="5"/>
      <c r="Z13" s="5"/>
    </row>
    <row r="14" ht="15.75" customHeight="1">
      <c r="B14" s="7"/>
      <c r="C14" s="7"/>
      <c r="D14" s="7"/>
      <c r="E14" s="7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4"/>
      <c r="U14" s="5"/>
      <c r="V14" s="5"/>
      <c r="W14" s="5"/>
      <c r="X14" s="5"/>
      <c r="Y14" s="5"/>
      <c r="Z14" s="5"/>
    </row>
    <row r="15" ht="15.75" customHeight="1">
      <c r="A15" s="11" t="s">
        <v>0</v>
      </c>
      <c r="B15" s="12"/>
      <c r="C15" s="12"/>
      <c r="D15" s="12"/>
      <c r="E15" s="1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4"/>
      <c r="U15" s="5"/>
      <c r="V15" s="5"/>
      <c r="W15" s="5"/>
      <c r="X15" s="5"/>
      <c r="Y15" s="5"/>
      <c r="Z15" s="5"/>
    </row>
    <row r="16" ht="15.75" customHeight="1">
      <c r="A16" s="8" t="s">
        <v>10</v>
      </c>
      <c r="B16" s="7"/>
      <c r="C16" s="7"/>
      <c r="D16" s="7"/>
      <c r="E16" s="7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4"/>
      <c r="U16" s="5"/>
      <c r="V16" s="5"/>
      <c r="W16" s="5"/>
      <c r="X16" s="5"/>
      <c r="Y16" s="5"/>
      <c r="Z16" s="5"/>
    </row>
    <row r="17" ht="15.75" customHeight="1">
      <c r="A17" s="8" t="s">
        <v>11</v>
      </c>
      <c r="B17" s="7"/>
      <c r="C17" s="7"/>
      <c r="D17" s="7"/>
      <c r="E17" s="7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/>
      <c r="U17" s="5"/>
      <c r="V17" s="5"/>
      <c r="W17" s="5"/>
      <c r="X17" s="5"/>
      <c r="Y17" s="5"/>
      <c r="Z17" s="5"/>
    </row>
    <row r="18" ht="15.75" customHeight="1">
      <c r="A18" s="8" t="s">
        <v>12</v>
      </c>
      <c r="B18" s="7"/>
      <c r="C18" s="7"/>
      <c r="D18" s="7"/>
      <c r="E18" s="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/>
      <c r="U18" s="5"/>
      <c r="V18" s="5"/>
      <c r="W18" s="5"/>
      <c r="X18" s="5"/>
      <c r="Y18" s="5"/>
      <c r="Z18" s="5"/>
    </row>
    <row r="19" ht="15.75" customHeight="1">
      <c r="A19" s="8" t="s">
        <v>13</v>
      </c>
      <c r="B19" s="7"/>
      <c r="C19" s="7"/>
      <c r="D19" s="7"/>
      <c r="E19" s="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4"/>
      <c r="U19" s="5"/>
      <c r="V19" s="5"/>
      <c r="W19" s="5"/>
      <c r="X19" s="5"/>
      <c r="Y19" s="5"/>
      <c r="Z19" s="5"/>
    </row>
    <row r="20" ht="15.75" customHeight="1">
      <c r="A20" s="13" t="s">
        <v>14</v>
      </c>
      <c r="B20" s="7"/>
      <c r="C20" s="7"/>
      <c r="D20" s="7"/>
      <c r="E20" s="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4"/>
      <c r="U20" s="5"/>
      <c r="V20" s="5"/>
      <c r="W20" s="5"/>
      <c r="X20" s="5"/>
      <c r="Y20" s="5"/>
      <c r="Z20" s="5"/>
    </row>
    <row r="21" ht="15.75" customHeight="1">
      <c r="A21" s="8" t="s">
        <v>15</v>
      </c>
      <c r="B21" s="7"/>
      <c r="C21" s="7"/>
      <c r="D21" s="7"/>
      <c r="E21" s="7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4"/>
      <c r="U21" s="5"/>
      <c r="V21" s="5"/>
      <c r="W21" s="5"/>
      <c r="X21" s="5"/>
      <c r="Y21" s="5"/>
      <c r="Z21" s="5"/>
    </row>
    <row r="22" ht="15.75" customHeight="1">
      <c r="A22" s="8" t="s">
        <v>16</v>
      </c>
      <c r="B22" s="7"/>
      <c r="C22" s="7"/>
      <c r="D22" s="7"/>
      <c r="E22" s="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4"/>
      <c r="U22" s="5"/>
      <c r="V22" s="5"/>
      <c r="W22" s="5"/>
      <c r="X22" s="5"/>
      <c r="Y22" s="5"/>
      <c r="Z22" s="5"/>
    </row>
    <row r="23" ht="15.75" customHeight="1">
      <c r="A23" s="8" t="s">
        <v>17</v>
      </c>
      <c r="B23" s="7"/>
      <c r="C23" s="7"/>
      <c r="D23" s="7"/>
      <c r="E23" s="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4"/>
      <c r="U23" s="5"/>
      <c r="V23" s="5"/>
      <c r="W23" s="5"/>
      <c r="X23" s="5"/>
      <c r="Y23" s="5"/>
      <c r="Z23" s="5"/>
    </row>
    <row r="24" ht="15.75" hidden="1" customHeight="1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5"/>
      <c r="V24" s="5"/>
      <c r="W24" s="5"/>
      <c r="X24" s="5"/>
      <c r="Y24" s="5"/>
      <c r="Z24" s="5"/>
    </row>
    <row r="25" ht="15.75" hidden="1" customHeight="1">
      <c r="A25" s="14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5"/>
      <c r="V25" s="5"/>
      <c r="W25" s="5"/>
      <c r="X25" s="5"/>
      <c r="Y25" s="5"/>
      <c r="Z25" s="5"/>
    </row>
    <row r="26" ht="15.75" hidden="1" customHeight="1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5"/>
      <c r="V26" s="5"/>
      <c r="W26" s="5"/>
      <c r="X26" s="5"/>
      <c r="Y26" s="5"/>
      <c r="Z26" s="5"/>
    </row>
    <row r="27" ht="15.75" hidden="1" customHeight="1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5"/>
      <c r="V27" s="5"/>
      <c r="W27" s="5"/>
      <c r="X27" s="5"/>
      <c r="Y27" s="5"/>
      <c r="Z27" s="5"/>
    </row>
    <row r="28" ht="15.75" hidden="1" customHeight="1">
      <c r="A28" s="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5"/>
      <c r="V28" s="5"/>
      <c r="W28" s="5"/>
      <c r="X28" s="5"/>
      <c r="Y28" s="5"/>
      <c r="Z28" s="5"/>
    </row>
    <row r="29" ht="15.75" hidden="1" customHeight="1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5"/>
      <c r="V29" s="5"/>
      <c r="W29" s="5"/>
      <c r="X29" s="5"/>
      <c r="Y29" s="5"/>
      <c r="Z29" s="5"/>
    </row>
    <row r="30" ht="15.75" hidden="1" customHeight="1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5"/>
      <c r="V30" s="5"/>
      <c r="W30" s="5"/>
      <c r="X30" s="5"/>
      <c r="Y30" s="5"/>
      <c r="Z30" s="5"/>
    </row>
    <row r="31" ht="15.75" hidden="1" customHeight="1">
      <c r="A31" s="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5"/>
      <c r="V31" s="5"/>
      <c r="W31" s="5"/>
      <c r="X31" s="5"/>
      <c r="Y31" s="5"/>
      <c r="Z31" s="5"/>
    </row>
    <row r="32" ht="15.75" hidden="1" customHeight="1">
      <c r="A32" s="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5"/>
      <c r="V32" s="5"/>
      <c r="W32" s="5"/>
      <c r="X32" s="5"/>
      <c r="Y32" s="5"/>
      <c r="Z32" s="5"/>
    </row>
    <row r="33" ht="15.75" hidden="1" customHeight="1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5"/>
      <c r="V33" s="5"/>
      <c r="W33" s="5"/>
      <c r="X33" s="5"/>
      <c r="Y33" s="5"/>
      <c r="Z33" s="5"/>
    </row>
    <row r="34" ht="15.75" hidden="1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5"/>
      <c r="V34" s="5"/>
      <c r="W34" s="5"/>
      <c r="X34" s="5"/>
      <c r="Y34" s="5"/>
      <c r="Z34" s="5"/>
    </row>
    <row r="35" ht="15.75" hidden="1" customHeight="1">
      <c r="A35" s="14"/>
      <c r="B35" s="2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5"/>
      <c r="V35" s="5"/>
      <c r="W35" s="5"/>
      <c r="X35" s="5"/>
      <c r="Y35" s="5"/>
      <c r="Z35" s="5"/>
    </row>
    <row r="36" ht="15.75" hidden="1" customHeight="1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5"/>
      <c r="V36" s="5"/>
      <c r="W36" s="5"/>
      <c r="X36" s="5"/>
      <c r="Y36" s="5"/>
      <c r="Z36" s="5"/>
    </row>
    <row r="37" ht="15.75" hidden="1" customHeight="1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5"/>
      <c r="V37" s="5"/>
      <c r="W37" s="5"/>
      <c r="X37" s="5"/>
      <c r="Y37" s="5"/>
      <c r="Z37" s="5"/>
    </row>
    <row r="38" ht="15.75" hidden="1" customHeight="1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5"/>
      <c r="V38" s="5"/>
      <c r="W38" s="5"/>
      <c r="X38" s="5"/>
      <c r="Y38" s="5"/>
      <c r="Z38" s="5"/>
    </row>
    <row r="39" ht="15.75" hidden="1" customHeight="1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5"/>
      <c r="V39" s="5"/>
      <c r="W39" s="5"/>
      <c r="X39" s="5"/>
      <c r="Y39" s="5"/>
      <c r="Z39" s="5"/>
    </row>
    <row r="40" ht="15.75" hidden="1" customHeight="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5"/>
      <c r="V40" s="5"/>
      <c r="W40" s="5"/>
      <c r="X40" s="5"/>
      <c r="Y40" s="5"/>
      <c r="Z40" s="5"/>
    </row>
    <row r="41" ht="15.75" hidden="1" customHeight="1">
      <c r="A41" s="5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5"/>
      <c r="V41" s="5"/>
      <c r="W41" s="5"/>
      <c r="X41" s="5"/>
      <c r="Y41" s="5"/>
      <c r="Z41" s="5"/>
    </row>
    <row r="42" ht="15.75" hidden="1" customHeight="1">
      <c r="A42" s="5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5"/>
      <c r="V42" s="5"/>
      <c r="W42" s="5"/>
      <c r="X42" s="5"/>
      <c r="Y42" s="5"/>
      <c r="Z42" s="5"/>
    </row>
    <row r="43" ht="15.75" hidden="1" customHeight="1">
      <c r="A43" s="5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5"/>
      <c r="V43" s="5"/>
      <c r="W43" s="5"/>
      <c r="X43" s="5"/>
      <c r="Y43" s="5"/>
      <c r="Z43" s="5"/>
    </row>
    <row r="44" ht="15.75" hidden="1" customHeight="1">
      <c r="A44" s="5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5"/>
      <c r="V44" s="5"/>
      <c r="W44" s="5"/>
      <c r="X44" s="5"/>
      <c r="Y44" s="5"/>
      <c r="Z44" s="5"/>
    </row>
    <row r="45" ht="15.75" hidden="1" customHeight="1">
      <c r="A45" s="5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5"/>
      <c r="V45" s="5"/>
      <c r="W45" s="5"/>
      <c r="X45" s="5"/>
      <c r="Y45" s="5"/>
      <c r="Z45" s="5"/>
    </row>
    <row r="46" ht="15.75" hidden="1" customHeight="1">
      <c r="A46" s="5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5"/>
      <c r="V46" s="5"/>
      <c r="W46" s="5"/>
      <c r="X46" s="5"/>
      <c r="Y46" s="5"/>
      <c r="Z46" s="5"/>
    </row>
    <row r="47" ht="15.75" hidden="1" customHeight="1">
      <c r="A47" s="5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5"/>
      <c r="V47" s="5"/>
      <c r="W47" s="5"/>
      <c r="X47" s="5"/>
      <c r="Y47" s="5"/>
      <c r="Z47" s="5"/>
    </row>
    <row r="48" ht="15.75" hidden="1" customHeight="1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5"/>
      <c r="V48" s="5"/>
      <c r="W48" s="5"/>
      <c r="X48" s="5"/>
      <c r="Y48" s="5"/>
      <c r="Z48" s="5"/>
    </row>
    <row r="49" ht="15.75" hidden="1" customHeight="1">
      <c r="A49" s="5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5"/>
      <c r="V49" s="5"/>
      <c r="W49" s="5"/>
      <c r="X49" s="5"/>
      <c r="Y49" s="5"/>
      <c r="Z49" s="5"/>
    </row>
    <row r="50" ht="15.75" hidden="1" customHeight="1">
      <c r="A50" s="5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5"/>
      <c r="V50" s="5"/>
      <c r="W50" s="5"/>
      <c r="X50" s="5"/>
      <c r="Y50" s="5"/>
      <c r="Z50" s="5"/>
    </row>
    <row r="51" ht="15.75" hidden="1" customHeight="1">
      <c r="A51" s="5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5"/>
      <c r="V51" s="5"/>
      <c r="W51" s="5"/>
      <c r="X51" s="5"/>
      <c r="Y51" s="5"/>
      <c r="Z51" s="5"/>
    </row>
    <row r="52" ht="15.75" hidden="1" customHeight="1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5"/>
      <c r="V52" s="5"/>
      <c r="W52" s="5"/>
      <c r="X52" s="5"/>
      <c r="Y52" s="5"/>
      <c r="Z52" s="5"/>
    </row>
    <row r="53" ht="15.75" hidden="1" customHeight="1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5"/>
      <c r="V53" s="5"/>
      <c r="W53" s="5"/>
      <c r="X53" s="5"/>
      <c r="Y53" s="5"/>
      <c r="Z53" s="5"/>
    </row>
    <row r="54" ht="15.75" hidden="1" customHeight="1">
      <c r="A54" s="5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5"/>
      <c r="V54" s="5"/>
      <c r="W54" s="5"/>
      <c r="X54" s="5"/>
      <c r="Y54" s="5"/>
      <c r="Z54" s="5"/>
    </row>
    <row r="55" ht="15.75" hidden="1" customHeight="1">
      <c r="A55" s="5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5"/>
      <c r="V55" s="5"/>
      <c r="W55" s="5"/>
      <c r="X55" s="5"/>
      <c r="Y55" s="5"/>
      <c r="Z55" s="5"/>
    </row>
    <row r="56" ht="15.75" hidden="1" customHeight="1">
      <c r="A56" s="5"/>
      <c r="B56" s="20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hidden="1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hidden="1" customHeight="1">
      <c r="A58" s="17"/>
      <c r="B58" s="17"/>
      <c r="C58" s="1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hidden="1" customHeight="1">
      <c r="A59" s="5"/>
      <c r="B59" s="5"/>
      <c r="C59" s="5"/>
      <c r="D59" s="5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5"/>
      <c r="V59" s="5"/>
      <c r="W59" s="5"/>
      <c r="X59" s="5"/>
      <c r="Y59" s="5"/>
      <c r="Z59" s="5"/>
    </row>
    <row r="60" ht="15.75" hidden="1" customHeight="1">
      <c r="A60" s="5"/>
      <c r="B60" s="17"/>
      <c r="C60" s="1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hidden="1" customHeight="1">
      <c r="A61" s="17"/>
      <c r="B61" s="17"/>
      <c r="C61" s="1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hidden="1" customHeight="1">
      <c r="A62" s="17"/>
      <c r="B62" s="17"/>
      <c r="C62" s="1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hidden="1" customHeight="1">
      <c r="A63" s="17"/>
      <c r="B63" s="17"/>
      <c r="C63" s="1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hidden="1" customHeight="1">
      <c r="A64" s="17"/>
      <c r="B64" s="17"/>
      <c r="C64" s="1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hidden="1" customHeight="1">
      <c r="A65" s="5"/>
      <c r="B65" s="23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hidden="1" customHeight="1">
      <c r="A66" s="5"/>
      <c r="B66" s="2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hidden="1" customHeight="1">
      <c r="A67" s="5"/>
      <c r="B67" s="2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hidden="1" customHeight="1">
      <c r="A68" s="5"/>
      <c r="B68" s="2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hidden="1" customHeight="1">
      <c r="A69" s="5"/>
      <c r="B69" s="19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hidden="1" customHeight="1">
      <c r="A70" s="5"/>
      <c r="B70" s="2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hidden="1" customHeight="1">
      <c r="A71" s="5"/>
      <c r="B71" s="19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hidden="1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hidden="1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hidden="1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hidden="1" customHeight="1">
      <c r="A75" s="5"/>
      <c r="B75" s="2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hidden="1" customHeight="1">
      <c r="A76" s="5"/>
      <c r="B76" s="2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hidden="1" customHeight="1">
      <c r="A77" s="5"/>
      <c r="B77" s="2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hidden="1" customHeight="1">
      <c r="A78" s="5"/>
      <c r="B78" s="2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hidden="1" customHeight="1">
      <c r="A79" s="5"/>
      <c r="B79" s="2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hidden="1" customHeight="1">
      <c r="A80" s="5"/>
      <c r="B80" s="2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hidden="1" customHeight="1">
      <c r="A81" s="5"/>
      <c r="B81" s="2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hidden="1" customHeight="1">
      <c r="A82" s="5"/>
      <c r="B82" s="2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hidden="1" customHeight="1">
      <c r="A83" s="5"/>
      <c r="B83" s="2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hidden="1" customHeight="1">
      <c r="A84" s="5"/>
      <c r="B84" s="2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hidden="1" customHeight="1">
      <c r="A85" s="5"/>
      <c r="B85" s="2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hidden="1" customHeight="1">
      <c r="A86" s="17"/>
      <c r="B86" s="1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hidden="1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hidden="1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hidden="1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hidden="1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hidden="1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hidden="1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hidden="1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hidden="1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hidden="1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hidden="1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hidden="1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hidden="1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hidden="1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hidden="1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hidden="1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hidden="1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hidden="1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hidden="1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hidden="1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hidden="1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hidden="1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hidden="1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hidden="1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hidden="1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hidden="1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hidden="1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hidden="1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hidden="1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hidden="1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hidden="1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hidden="1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hidden="1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hidden="1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hidden="1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hidden="1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hidden="1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hidden="1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hidden="1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hidden="1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hidden="1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hidden="1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hidden="1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hidden="1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hidden="1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hidden="1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hidden="1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hidden="1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hidden="1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hidden="1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hidden="1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hidden="1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hidden="1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hidden="1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hidden="1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hidden="1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hidden="1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hidden="1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hidden="1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hidden="1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hidden="1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hidden="1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hidden="1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hidden="1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hidden="1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hidden="1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hidden="1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hidden="1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hidden="1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hidden="1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hidden="1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hidden="1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hidden="1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hidden="1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hidden="1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hidden="1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hidden="1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hidden="1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hidden="1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hidden="1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hidden="1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hidden="1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hidden="1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hidden="1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hidden="1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hidden="1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hidden="1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hidden="1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hidden="1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hidden="1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hidden="1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hidden="1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hidden="1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hidden="1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hidden="1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hidden="1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hidden="1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hidden="1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hidden="1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hidden="1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hidden="1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hidden="1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hidden="1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hidden="1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hidden="1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hidden="1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hidden="1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hidden="1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hidden="1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hidden="1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hidden="1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hidden="1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hidden="1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hidden="1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hidden="1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hidden="1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hidden="1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hidden="1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hidden="1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hidden="1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hidden="1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hidden="1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hidden="1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hidden="1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hidden="1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hidden="1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hidden="1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hidden="1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hidden="1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hidden="1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hidden="1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hidden="1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hidden="1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hidden="1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hidden="1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hidden="1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hidden="1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hidden="1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8.0"/>
    <col customWidth="1" min="2" max="2" width="17.13"/>
    <col customWidth="1" min="3" max="3" width="26.38"/>
    <col customWidth="1" min="4" max="4" width="21.88"/>
  </cols>
  <sheetData>
    <row r="1">
      <c r="B1" s="27" t="s">
        <v>18</v>
      </c>
      <c r="C1" s="28">
        <v>1.0</v>
      </c>
      <c r="D1" s="29">
        <v>2.0</v>
      </c>
      <c r="E1" s="29">
        <v>3.0</v>
      </c>
      <c r="F1" s="29">
        <v>4.0</v>
      </c>
      <c r="G1" s="29">
        <v>5.0</v>
      </c>
      <c r="H1" s="29">
        <v>6.0</v>
      </c>
      <c r="I1" s="29">
        <v>7.0</v>
      </c>
      <c r="J1" s="29">
        <v>8.0</v>
      </c>
      <c r="K1" s="29">
        <v>9.0</v>
      </c>
      <c r="L1" s="29">
        <v>10.0</v>
      </c>
      <c r="M1" s="29">
        <v>11.0</v>
      </c>
      <c r="N1" s="29">
        <v>12.0</v>
      </c>
      <c r="O1" s="29">
        <v>13.0</v>
      </c>
      <c r="P1" s="29">
        <v>14.0</v>
      </c>
      <c r="Q1" s="29">
        <v>15.0</v>
      </c>
      <c r="R1" s="29">
        <v>16.0</v>
      </c>
      <c r="S1" s="29">
        <v>17.0</v>
      </c>
      <c r="T1" s="29">
        <v>18.0</v>
      </c>
      <c r="U1" s="30"/>
      <c r="V1" s="30"/>
      <c r="W1" s="30"/>
      <c r="X1" s="30"/>
      <c r="Y1" s="30"/>
      <c r="Z1" s="30"/>
      <c r="AA1" s="30"/>
    </row>
    <row r="2">
      <c r="A2" s="31" t="s">
        <v>19</v>
      </c>
      <c r="B2" s="31"/>
      <c r="C2" s="32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34" t="s">
        <v>20</v>
      </c>
      <c r="B3" s="34"/>
      <c r="C3" s="35">
        <v>100.0</v>
      </c>
      <c r="D3" s="36">
        <v>500.0</v>
      </c>
      <c r="E3" s="36">
        <v>1000.0</v>
      </c>
      <c r="F3" s="36">
        <f>E3+SUM('Revenue_User_Waterfall (B2C)'!E12:E15)</f>
        <v>4000</v>
      </c>
      <c r="G3" s="36">
        <f>F3+SUM('Revenue_User_Waterfall (B2C)'!F12:F15)</f>
        <v>7000</v>
      </c>
      <c r="H3" s="36">
        <f>G3+SUM('Revenue_User_Waterfall (B2C)'!G12:G15)</f>
        <v>10000</v>
      </c>
      <c r="I3" s="36">
        <f>H3+SUM('Revenue_User_Waterfall (B2C)'!H12:H15)</f>
        <v>15750</v>
      </c>
      <c r="J3" s="36">
        <f>I3+SUM('Revenue_User_Waterfall (B2C)'!I12:I15)</f>
        <v>21500</v>
      </c>
      <c r="K3" s="36">
        <f>J3+SUM('Revenue_User_Waterfall (B2C)'!J12:J15)</f>
        <v>27250</v>
      </c>
      <c r="L3" s="36">
        <f>K3+SUM('Revenue_User_Waterfall (B2C)'!K12:K15)</f>
        <v>35900</v>
      </c>
      <c r="M3" s="36">
        <f>L3+SUM('Revenue_User_Waterfall (B2C)'!L12:L15)</f>
        <v>44550</v>
      </c>
      <c r="N3" s="36">
        <f>M3+SUM('Revenue_User_Waterfall (B2C)'!M12:M15)</f>
        <v>53200</v>
      </c>
      <c r="O3" s="36">
        <f>N3+SUM('Revenue_User_Waterfall (B2C)'!N12:N15)</f>
        <v>65750</v>
      </c>
      <c r="P3" s="36">
        <f>O3+SUM('Revenue_User_Waterfall (B2C)'!O12:O15)</f>
        <v>78300</v>
      </c>
      <c r="Q3" s="36">
        <f>P3+SUM('Revenue_User_Waterfall (B2C)'!P12:P15)</f>
        <v>90850</v>
      </c>
      <c r="R3" s="36">
        <f>Q3+SUM('Revenue_User_Waterfall (B2C)'!Q12:Q15)</f>
        <v>109850</v>
      </c>
      <c r="S3" s="36">
        <f>R3+SUM('Revenue_User_Waterfall (B2C)'!R12:R15)</f>
        <v>128850</v>
      </c>
      <c r="T3" s="36">
        <f>S3+SUM('Revenue_User_Waterfall (B2C)'!S12:S15)</f>
        <v>147850</v>
      </c>
      <c r="U3" s="37"/>
      <c r="V3" s="37"/>
      <c r="W3" s="37"/>
      <c r="X3" s="37"/>
      <c r="Y3" s="37"/>
      <c r="Z3" s="37"/>
      <c r="AA3" s="37"/>
    </row>
    <row r="4">
      <c r="A4" s="38" t="s">
        <v>21</v>
      </c>
      <c r="B4" s="38">
        <f t="shared" ref="B4:B7" si="2">ROUND(SUM(C4:T4),0)</f>
        <v>23228967</v>
      </c>
      <c r="C4" s="38">
        <f t="shared" ref="C4:T4" si="1">SUM(C5:C7)</f>
        <v>26089.8</v>
      </c>
      <c r="D4" s="38">
        <f t="shared" si="1"/>
        <v>190089.8</v>
      </c>
      <c r="E4" s="38">
        <f t="shared" si="1"/>
        <v>194089.8</v>
      </c>
      <c r="F4" s="38">
        <f t="shared" si="1"/>
        <v>461891.8</v>
      </c>
      <c r="G4" s="38">
        <f t="shared" si="1"/>
        <v>488384.8</v>
      </c>
      <c r="H4" s="38">
        <f t="shared" si="1"/>
        <v>515532.3</v>
      </c>
      <c r="I4" s="38">
        <f t="shared" si="1"/>
        <v>766509.55</v>
      </c>
      <c r="J4" s="38">
        <f t="shared" si="1"/>
        <v>818959.425</v>
      </c>
      <c r="K4" s="38">
        <f t="shared" si="1"/>
        <v>1068942.138</v>
      </c>
      <c r="L4" s="38">
        <f t="shared" si="1"/>
        <v>1143547.106</v>
      </c>
      <c r="M4" s="38">
        <f t="shared" si="1"/>
        <v>1218778.559</v>
      </c>
      <c r="N4" s="38">
        <f t="shared" si="1"/>
        <v>1768859.939</v>
      </c>
      <c r="O4" s="38">
        <f t="shared" si="1"/>
        <v>2078744.709</v>
      </c>
      <c r="P4" s="38">
        <f t="shared" si="1"/>
        <v>2190743.863</v>
      </c>
      <c r="Q4" s="38">
        <f t="shared" si="1"/>
        <v>2305914.594</v>
      </c>
      <c r="R4" s="38">
        <f t="shared" si="1"/>
        <v>2479586.692</v>
      </c>
      <c r="S4" s="38">
        <f t="shared" si="1"/>
        <v>2660394.837</v>
      </c>
      <c r="T4" s="38">
        <f t="shared" si="1"/>
        <v>2851907.056</v>
      </c>
      <c r="U4" s="30"/>
      <c r="V4" s="30"/>
      <c r="W4" s="30"/>
      <c r="X4" s="30"/>
      <c r="Y4" s="30"/>
      <c r="Z4" s="30"/>
      <c r="AA4" s="30"/>
    </row>
    <row r="5">
      <c r="A5" s="27" t="s">
        <v>22</v>
      </c>
      <c r="B5" s="27">
        <f t="shared" si="2"/>
        <v>3786988</v>
      </c>
      <c r="C5" s="27">
        <f t="shared" ref="C5:M5" si="3">22110*1.18</f>
        <v>26089.8</v>
      </c>
      <c r="D5" s="27">
        <f t="shared" si="3"/>
        <v>26089.8</v>
      </c>
      <c r="E5" s="27">
        <f t="shared" si="3"/>
        <v>26089.8</v>
      </c>
      <c r="F5" s="27">
        <f t="shared" si="3"/>
        <v>26089.8</v>
      </c>
      <c r="G5" s="27">
        <f t="shared" si="3"/>
        <v>26089.8</v>
      </c>
      <c r="H5" s="27">
        <f t="shared" si="3"/>
        <v>26089.8</v>
      </c>
      <c r="I5" s="27">
        <f t="shared" si="3"/>
        <v>26089.8</v>
      </c>
      <c r="J5" s="27">
        <f t="shared" si="3"/>
        <v>26089.8</v>
      </c>
      <c r="K5" s="27">
        <f t="shared" si="3"/>
        <v>26089.8</v>
      </c>
      <c r="L5" s="27">
        <f t="shared" si="3"/>
        <v>26089.8</v>
      </c>
      <c r="M5" s="27">
        <f t="shared" si="3"/>
        <v>26089.8</v>
      </c>
      <c r="N5" s="27">
        <v>500000.0</v>
      </c>
      <c r="O5" s="27">
        <v>500000.0</v>
      </c>
      <c r="P5" s="27">
        <v>500000.0</v>
      </c>
      <c r="Q5" s="27">
        <v>500000.0</v>
      </c>
      <c r="R5" s="27">
        <v>500000.0</v>
      </c>
      <c r="S5" s="27">
        <v>500000.0</v>
      </c>
      <c r="T5" s="27">
        <v>500000.0</v>
      </c>
      <c r="U5" s="30"/>
      <c r="V5" s="30"/>
      <c r="W5" s="30"/>
      <c r="X5" s="30"/>
      <c r="Y5" s="30"/>
      <c r="Z5" s="30"/>
      <c r="AA5" s="30"/>
    </row>
    <row r="6">
      <c r="A6" s="27" t="s">
        <v>23</v>
      </c>
      <c r="B6" s="27">
        <f t="shared" si="2"/>
        <v>11920000</v>
      </c>
      <c r="C6" s="27">
        <v>0.0</v>
      </c>
      <c r="D6" s="27">
        <v>160000.0</v>
      </c>
      <c r="E6" s="27">
        <v>160000.0</v>
      </c>
      <c r="F6" s="27">
        <v>400000.0</v>
      </c>
      <c r="G6" s="27">
        <v>400000.0</v>
      </c>
      <c r="H6" s="27">
        <v>400000.0</v>
      </c>
      <c r="I6" s="27">
        <v>600000.0</v>
      </c>
      <c r="J6" s="27">
        <v>600000.0</v>
      </c>
      <c r="K6" s="27">
        <v>800000.0</v>
      </c>
      <c r="L6" s="27">
        <v>800000.0</v>
      </c>
      <c r="M6" s="27">
        <v>800000.0</v>
      </c>
      <c r="N6" s="27">
        <v>800000.0</v>
      </c>
      <c r="O6" s="27">
        <v>1000000.0</v>
      </c>
      <c r="P6" s="27">
        <v>1000000.0</v>
      </c>
      <c r="Q6" s="27">
        <v>1000000.0</v>
      </c>
      <c r="R6" s="27">
        <v>1000000.0</v>
      </c>
      <c r="S6" s="27">
        <v>1000000.0</v>
      </c>
      <c r="T6" s="27">
        <v>1000000.0</v>
      </c>
      <c r="U6" s="30"/>
      <c r="V6" s="30"/>
      <c r="W6" s="30"/>
      <c r="X6" s="30"/>
      <c r="Y6" s="30"/>
      <c r="Z6" s="30"/>
      <c r="AA6" s="30"/>
    </row>
    <row r="7">
      <c r="A7" s="27" t="s">
        <v>24</v>
      </c>
      <c r="B7" s="27">
        <f t="shared" si="2"/>
        <v>7521979</v>
      </c>
      <c r="C7" s="27">
        <v>0.0</v>
      </c>
      <c r="D7" s="27">
        <v>4000.0</v>
      </c>
      <c r="E7" s="27">
        <v>8000.0</v>
      </c>
      <c r="F7" s="27">
        <f>8*(
 'Revenue_User_Waterfall (B2C)'!E40
-'Revenue_User_Waterfall (B2C)'!E45
+'Revenue_User_Waterfall (B2C)'!E41
-'Revenue_User_Waterfall (B2C)'!E46
+'Revenue_User_Waterfall (B2C)'!E42
-'Revenue_User_Waterfall (B2C)'!E47
)
+24*'Revenue_User_Waterfall (B2C)'!E45
+96*'Revenue_User_Waterfall (B2C)'!E47
+1152*'Revenue_User_Waterfall (B2C)'!E46
</f>
        <v>35802</v>
      </c>
      <c r="G7" s="27">
        <f>8*(
 'Revenue_User_Waterfall (B2C)'!F40
-'Revenue_User_Waterfall (B2C)'!F45
+'Revenue_User_Waterfall (B2C)'!F41
-'Revenue_User_Waterfall (B2C)'!F46
+'Revenue_User_Waterfall (B2C)'!F42
-'Revenue_User_Waterfall (B2C)'!F47
)
+24*'Revenue_User_Waterfall (B2C)'!F45
+96*'Revenue_User_Waterfall (B2C)'!F47
+1152*'Revenue_User_Waterfall (B2C)'!F46
</f>
        <v>62295</v>
      </c>
      <c r="H7" s="27">
        <f>8*(
 'Revenue_User_Waterfall (B2C)'!G40
-'Revenue_User_Waterfall (B2C)'!G45
+'Revenue_User_Waterfall (B2C)'!G41
-'Revenue_User_Waterfall (B2C)'!G46
+'Revenue_User_Waterfall (B2C)'!G42
-'Revenue_User_Waterfall (B2C)'!G47
)
+24*'Revenue_User_Waterfall (B2C)'!G45
+96*'Revenue_User_Waterfall (B2C)'!G47
+1152*'Revenue_User_Waterfall (B2C)'!G46
</f>
        <v>89442.5</v>
      </c>
      <c r="I7" s="27">
        <f>8*(
 'Revenue_User_Waterfall (B2C)'!H40
-'Revenue_User_Waterfall (B2C)'!H45
+'Revenue_User_Waterfall (B2C)'!H41
-'Revenue_User_Waterfall (B2C)'!H46
+'Revenue_User_Waterfall (B2C)'!H42
-'Revenue_User_Waterfall (B2C)'!H47
)
+24*'Revenue_User_Waterfall (B2C)'!H45
+96*'Revenue_User_Waterfall (B2C)'!H47
+1152*'Revenue_User_Waterfall (B2C)'!H46
</f>
        <v>140419.75</v>
      </c>
      <c r="J7" s="27">
        <f>8*(
 'Revenue_User_Waterfall (B2C)'!I40
-'Revenue_User_Waterfall (B2C)'!I45
+'Revenue_User_Waterfall (B2C)'!I41
-'Revenue_User_Waterfall (B2C)'!I46
+'Revenue_User_Waterfall (B2C)'!I42
-'Revenue_User_Waterfall (B2C)'!I47
)
+24*'Revenue_User_Waterfall (B2C)'!I45
+96*'Revenue_User_Waterfall (B2C)'!I47
+1152*'Revenue_User_Waterfall (B2C)'!I46
</f>
        <v>192869.625</v>
      </c>
      <c r="K7" s="27">
        <f>8*(
 'Revenue_User_Waterfall (B2C)'!J40
-'Revenue_User_Waterfall (B2C)'!J45
+'Revenue_User_Waterfall (B2C)'!J41
-'Revenue_User_Waterfall (B2C)'!J46
+'Revenue_User_Waterfall (B2C)'!J42
-'Revenue_User_Waterfall (B2C)'!J47
)
+24*'Revenue_User_Waterfall (B2C)'!J45
+96*'Revenue_User_Waterfall (B2C)'!J47
+1152*'Revenue_User_Waterfall (B2C)'!J46
</f>
        <v>242852.3375</v>
      </c>
      <c r="L7" s="27">
        <f>8*(
 'Revenue_User_Waterfall (B2C)'!K40
-'Revenue_User_Waterfall (B2C)'!K45
+'Revenue_User_Waterfall (B2C)'!K41
-'Revenue_User_Waterfall (B2C)'!K46
+'Revenue_User_Waterfall (B2C)'!K42
-'Revenue_User_Waterfall (B2C)'!K47
)
+24*'Revenue_User_Waterfall (B2C)'!K45
+96*'Revenue_User_Waterfall (B2C)'!K47
+1152*'Revenue_User_Waterfall (B2C)'!K46
</f>
        <v>317457.3063</v>
      </c>
      <c r="M7" s="27">
        <f>8*(
 'Revenue_User_Waterfall (B2C)'!L40
-'Revenue_User_Waterfall (B2C)'!L45
+'Revenue_User_Waterfall (B2C)'!L41
-'Revenue_User_Waterfall (B2C)'!L46
+'Revenue_User_Waterfall (B2C)'!L42
-'Revenue_User_Waterfall (B2C)'!L47
)
+24*'Revenue_User_Waterfall (B2C)'!L45
+96*'Revenue_User_Waterfall (B2C)'!L47
+1152*'Revenue_User_Waterfall (B2C)'!L46
</f>
        <v>392688.7594</v>
      </c>
      <c r="N7" s="27">
        <f>8*(
 'Revenue_User_Waterfall (B2C)'!M40
-'Revenue_User_Waterfall (B2C)'!M45
+'Revenue_User_Waterfall (B2C)'!M41
-'Revenue_User_Waterfall (B2C)'!M46
+'Revenue_User_Waterfall (B2C)'!M42
-'Revenue_User_Waterfall (B2C)'!M47
)
+24*'Revenue_User_Waterfall (B2C)'!M45
+96*'Revenue_User_Waterfall (B2C)'!M47
+1152*'Revenue_User_Waterfall (B2C)'!M46
</f>
        <v>468859.9391</v>
      </c>
      <c r="O7" s="27">
        <f>8*(
 'Revenue_User_Waterfall (B2C)'!N40
-'Revenue_User_Waterfall (B2C)'!N45
+'Revenue_User_Waterfall (B2C)'!N41
-'Revenue_User_Waterfall (B2C)'!N46
+'Revenue_User_Waterfall (B2C)'!N42
-'Revenue_User_Waterfall (B2C)'!N47
)
+24*'Revenue_User_Waterfall (B2C)'!N45
+96*'Revenue_User_Waterfall (B2C)'!N47
+1152*'Revenue_User_Waterfall (B2C)'!N46
</f>
        <v>578744.7086</v>
      </c>
      <c r="P7" s="27">
        <f>8*(
 'Revenue_User_Waterfall (B2C)'!O40
-'Revenue_User_Waterfall (B2C)'!O45
+'Revenue_User_Waterfall (B2C)'!O41
-'Revenue_User_Waterfall (B2C)'!O46
+'Revenue_User_Waterfall (B2C)'!O42
-'Revenue_User_Waterfall (B2C)'!O47
)
+24*'Revenue_User_Waterfall (B2C)'!O45
+96*'Revenue_User_Waterfall (B2C)'!O47
+1152*'Revenue_User_Waterfall (B2C)'!O46
</f>
        <v>690743.8629</v>
      </c>
      <c r="Q7" s="27">
        <f>8*(
 'Revenue_User_Waterfall (B2C)'!P40
-'Revenue_User_Waterfall (B2C)'!P45
+'Revenue_User_Waterfall (B2C)'!P41
-'Revenue_User_Waterfall (B2C)'!P46
+'Revenue_User_Waterfall (B2C)'!P42
-'Revenue_User_Waterfall (B2C)'!P47
)
+24*'Revenue_User_Waterfall (B2C)'!P45
+96*'Revenue_User_Waterfall (B2C)'!P47
+1152*'Revenue_User_Waterfall (B2C)'!P46
</f>
        <v>805914.5943</v>
      </c>
      <c r="R7" s="27">
        <f>8*(
 'Revenue_User_Waterfall (B2C)'!Q40
-'Revenue_User_Waterfall (B2C)'!Q45
+'Revenue_User_Waterfall (B2C)'!Q41
-'Revenue_User_Waterfall (B2C)'!Q46
+'Revenue_User_Waterfall (B2C)'!Q42
-'Revenue_User_Waterfall (B2C)'!Q47
)
+24*'Revenue_User_Waterfall (B2C)'!Q45
+96*'Revenue_User_Waterfall (B2C)'!Q47
+1152*'Revenue_User_Waterfall (B2C)'!Q46
</f>
        <v>979586.6915</v>
      </c>
      <c r="S7" s="27">
        <f>8*(
 'Revenue_User_Waterfall (B2C)'!R40
-'Revenue_User_Waterfall (B2C)'!R45
+'Revenue_User_Waterfall (B2C)'!R41
-'Revenue_User_Waterfall (B2C)'!R46
+'Revenue_User_Waterfall (B2C)'!R42
-'Revenue_User_Waterfall (B2C)'!R47
)
+24*'Revenue_User_Waterfall (B2C)'!R45
+96*'Revenue_User_Waterfall (B2C)'!R47
+1152*'Revenue_User_Waterfall (B2C)'!R46
</f>
        <v>1160394.837</v>
      </c>
      <c r="T7" s="27">
        <f>8*(
 'Revenue_User_Waterfall (B2C)'!S40
-'Revenue_User_Waterfall (B2C)'!S45
+'Revenue_User_Waterfall (B2C)'!S41
-'Revenue_User_Waterfall (B2C)'!S46
+'Revenue_User_Waterfall (B2C)'!S42
-'Revenue_User_Waterfall (B2C)'!S47
)
+24*'Revenue_User_Waterfall (B2C)'!S45
+96*'Revenue_User_Waterfall (B2C)'!S47
+1152*'Revenue_User_Waterfall (B2C)'!S46
</f>
        <v>1351907.056</v>
      </c>
      <c r="U7" s="30"/>
      <c r="V7" s="30"/>
      <c r="W7" s="30"/>
      <c r="X7" s="30"/>
      <c r="Y7" s="30"/>
      <c r="Z7" s="30"/>
      <c r="AA7" s="30"/>
    </row>
    <row r="8">
      <c r="A8" s="27" t="s">
        <v>25</v>
      </c>
      <c r="M8" s="27">
        <v>5000000.0</v>
      </c>
      <c r="U8" s="30"/>
      <c r="V8" s="30"/>
      <c r="W8" s="30"/>
      <c r="X8" s="30"/>
      <c r="Y8" s="30"/>
      <c r="Z8" s="30"/>
      <c r="AA8" s="30"/>
    </row>
    <row r="9">
      <c r="U9" s="30"/>
      <c r="V9" s="30"/>
      <c r="W9" s="30"/>
      <c r="X9" s="30"/>
      <c r="Y9" s="30"/>
      <c r="Z9" s="30"/>
      <c r="AA9" s="30"/>
    </row>
    <row r="10">
      <c r="A10" s="30"/>
      <c r="B10" s="30"/>
      <c r="C10" s="29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>
      <c r="A11" s="39" t="s">
        <v>26</v>
      </c>
      <c r="B11" s="40"/>
      <c r="C11" s="3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1"/>
      <c r="W11" s="40"/>
      <c r="X11" s="40"/>
      <c r="Y11" s="40"/>
      <c r="Z11" s="40"/>
      <c r="AA11" s="40"/>
    </row>
    <row r="12">
      <c r="A12" s="30"/>
      <c r="B12" s="30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0"/>
      <c r="W12" s="38"/>
      <c r="X12" s="38"/>
      <c r="Y12" s="38"/>
      <c r="Z12" s="38"/>
      <c r="AA12" s="38"/>
    </row>
    <row r="13">
      <c r="A13" s="30" t="s">
        <v>27</v>
      </c>
      <c r="B13" s="30"/>
      <c r="C13" s="42">
        <v>2.0</v>
      </c>
      <c r="D13" s="42">
        <v>5.0</v>
      </c>
      <c r="E13" s="42">
        <v>8.0</v>
      </c>
      <c r="F13" s="42">
        <v>8.0</v>
      </c>
      <c r="G13" s="42">
        <v>8.0</v>
      </c>
      <c r="H13" s="42">
        <v>8.0</v>
      </c>
      <c r="I13" s="42">
        <v>8.0</v>
      </c>
      <c r="J13" s="42">
        <v>8.0</v>
      </c>
      <c r="K13" s="42">
        <v>8.0</v>
      </c>
      <c r="L13" s="42">
        <v>8.0</v>
      </c>
      <c r="M13" s="42">
        <v>8.0</v>
      </c>
      <c r="N13" s="42">
        <v>8.0</v>
      </c>
      <c r="O13" s="42">
        <v>8.0</v>
      </c>
      <c r="P13" s="42">
        <v>8.0</v>
      </c>
      <c r="Q13" s="42">
        <v>8.0</v>
      </c>
      <c r="R13" s="42">
        <v>8.0</v>
      </c>
      <c r="S13" s="42">
        <v>8.0</v>
      </c>
      <c r="T13" s="42">
        <v>8.0</v>
      </c>
      <c r="U13" s="38"/>
      <c r="V13" s="30"/>
      <c r="W13" s="38"/>
      <c r="X13" s="38"/>
      <c r="Y13" s="38"/>
      <c r="Z13" s="38"/>
      <c r="AA13" s="38"/>
    </row>
    <row r="14">
      <c r="A14" s="30" t="s">
        <v>28</v>
      </c>
      <c r="B14" s="38">
        <f t="shared" ref="B14:B21" si="6">sum(C14:T14)</f>
        <v>9652876</v>
      </c>
      <c r="C14" s="38">
        <f t="shared" ref="C14:R14" si="4">SUM(C15:C22)</f>
        <v>100000</v>
      </c>
      <c r="D14" s="38">
        <f t="shared" si="4"/>
        <v>300000</v>
      </c>
      <c r="E14" s="38">
        <f t="shared" si="4"/>
        <v>400000</v>
      </c>
      <c r="F14" s="38">
        <f t="shared" si="4"/>
        <v>420000</v>
      </c>
      <c r="G14" s="38">
        <f t="shared" si="4"/>
        <v>530000</v>
      </c>
      <c r="H14" s="38">
        <f t="shared" si="4"/>
        <v>535000</v>
      </c>
      <c r="I14" s="38">
        <f t="shared" si="4"/>
        <v>535000</v>
      </c>
      <c r="J14" s="38">
        <f t="shared" si="4"/>
        <v>547000</v>
      </c>
      <c r="K14" s="38">
        <f t="shared" si="4"/>
        <v>592250</v>
      </c>
      <c r="L14" s="38">
        <f t="shared" si="4"/>
        <v>596250</v>
      </c>
      <c r="M14" s="38">
        <f t="shared" si="4"/>
        <v>610650</v>
      </c>
      <c r="N14" s="38">
        <f t="shared" si="4"/>
        <v>631162</v>
      </c>
      <c r="O14" s="38">
        <f t="shared" si="4"/>
        <v>631162</v>
      </c>
      <c r="P14" s="38">
        <f t="shared" si="4"/>
        <v>648442</v>
      </c>
      <c r="Q14" s="38">
        <f t="shared" si="4"/>
        <v>692230</v>
      </c>
      <c r="R14" s="38">
        <f t="shared" si="4"/>
        <v>697030</v>
      </c>
      <c r="S14" s="42">
        <f t="shared" ref="S14:T14" si="5">SUM(S15:S21)</f>
        <v>593350</v>
      </c>
      <c r="T14" s="42">
        <f t="shared" si="5"/>
        <v>593350</v>
      </c>
      <c r="U14" s="38"/>
      <c r="V14" s="43" t="s">
        <v>29</v>
      </c>
      <c r="W14" s="38"/>
      <c r="X14" s="38"/>
      <c r="Y14" s="38"/>
      <c r="Z14" s="38"/>
      <c r="AA14" s="38"/>
    </row>
    <row r="15">
      <c r="A15" s="30" t="s">
        <v>30</v>
      </c>
      <c r="B15" s="38">
        <f t="shared" si="6"/>
        <v>900000</v>
      </c>
      <c r="C15" s="38">
        <v>50000.0</v>
      </c>
      <c r="D15" s="38">
        <v>50000.0</v>
      </c>
      <c r="E15" s="38">
        <v>50000.0</v>
      </c>
      <c r="F15" s="38">
        <v>50000.0</v>
      </c>
      <c r="G15" s="38">
        <v>50000.0</v>
      </c>
      <c r="H15" s="38">
        <v>50000.0</v>
      </c>
      <c r="I15" s="38">
        <v>50000.0</v>
      </c>
      <c r="J15" s="38">
        <v>50000.0</v>
      </c>
      <c r="K15" s="38">
        <v>50000.0</v>
      </c>
      <c r="L15" s="38">
        <v>50000.0</v>
      </c>
      <c r="M15" s="38">
        <v>50000.0</v>
      </c>
      <c r="N15" s="38">
        <v>50000.0</v>
      </c>
      <c r="O15" s="38">
        <v>50000.0</v>
      </c>
      <c r="P15" s="38">
        <v>50000.0</v>
      </c>
      <c r="Q15" s="38">
        <v>50000.0</v>
      </c>
      <c r="R15" s="38">
        <v>50000.0</v>
      </c>
      <c r="S15" s="38">
        <v>50000.0</v>
      </c>
      <c r="T15" s="38">
        <v>50000.0</v>
      </c>
      <c r="U15" s="38"/>
      <c r="V15" s="27" t="s">
        <v>31</v>
      </c>
      <c r="W15" s="38"/>
      <c r="X15" s="38"/>
      <c r="Y15" s="38"/>
      <c r="Z15" s="38"/>
      <c r="AA15" s="38"/>
    </row>
    <row r="16">
      <c r="A16" s="30" t="s">
        <v>32</v>
      </c>
      <c r="B16" s="38">
        <f t="shared" si="6"/>
        <v>2405000</v>
      </c>
      <c r="C16" s="42">
        <v>50000.0</v>
      </c>
      <c r="D16" s="42">
        <v>50000.0</v>
      </c>
      <c r="E16" s="42">
        <v>50000.0</v>
      </c>
      <c r="F16" s="42">
        <v>50000.0</v>
      </c>
      <c r="G16" s="42">
        <v>150000.0</v>
      </c>
      <c r="H16" s="42">
        <v>150000.0</v>
      </c>
      <c r="I16" s="42">
        <v>150000.0</v>
      </c>
      <c r="J16" s="42">
        <v>150000.0</v>
      </c>
      <c r="K16" s="42">
        <v>150000.0</v>
      </c>
      <c r="L16" s="42">
        <v>150000.0</v>
      </c>
      <c r="M16" s="42">
        <v>150000.0</v>
      </c>
      <c r="N16" s="42">
        <v>165000.0</v>
      </c>
      <c r="O16" s="42">
        <v>165000.0</v>
      </c>
      <c r="P16" s="42">
        <v>165000.0</v>
      </c>
      <c r="Q16" s="42">
        <v>165000.0</v>
      </c>
      <c r="R16" s="42">
        <v>165000.0</v>
      </c>
      <c r="S16" s="42">
        <v>165000.0</v>
      </c>
      <c r="T16" s="42">
        <v>165000.0</v>
      </c>
      <c r="U16" s="38"/>
      <c r="V16" s="27" t="s">
        <v>31</v>
      </c>
      <c r="W16" s="38"/>
      <c r="X16" s="38"/>
      <c r="Y16" s="38"/>
      <c r="Z16" s="38"/>
      <c r="AA16" s="38"/>
    </row>
    <row r="17">
      <c r="A17" s="30" t="s">
        <v>33</v>
      </c>
      <c r="B17" s="38">
        <f t="shared" si="6"/>
        <v>889618</v>
      </c>
      <c r="C17" s="38">
        <v>0.0</v>
      </c>
      <c r="D17" s="42"/>
      <c r="E17" s="42">
        <v>50000.0</v>
      </c>
      <c r="F17" s="42">
        <v>50000.0</v>
      </c>
      <c r="G17" s="42">
        <v>50000.0</v>
      </c>
      <c r="H17" s="42">
        <v>52500.0</v>
      </c>
      <c r="I17" s="42">
        <v>52500.0</v>
      </c>
      <c r="J17" s="42">
        <v>52500.0</v>
      </c>
      <c r="K17" s="42">
        <v>55125.0</v>
      </c>
      <c r="L17" s="42">
        <v>55125.0</v>
      </c>
      <c r="M17" s="42">
        <v>55125.0</v>
      </c>
      <c r="N17" s="42">
        <v>57881.0</v>
      </c>
      <c r="O17" s="42">
        <v>57881.0</v>
      </c>
      <c r="P17" s="42">
        <v>57881.0</v>
      </c>
      <c r="Q17" s="42">
        <v>60775.0</v>
      </c>
      <c r="R17" s="42">
        <v>60775.0</v>
      </c>
      <c r="S17" s="42">
        <v>60775.0</v>
      </c>
      <c r="T17" s="42">
        <v>60775.0</v>
      </c>
      <c r="U17" s="42"/>
      <c r="V17" s="30"/>
      <c r="W17" s="38"/>
      <c r="X17" s="38"/>
      <c r="Y17" s="38"/>
      <c r="Z17" s="38"/>
      <c r="AA17" s="38"/>
    </row>
    <row r="18">
      <c r="A18" s="30" t="s">
        <v>34</v>
      </c>
      <c r="B18" s="38">
        <f t="shared" si="6"/>
        <v>889618</v>
      </c>
      <c r="C18" s="38">
        <v>0.0</v>
      </c>
      <c r="D18" s="38">
        <v>0.0</v>
      </c>
      <c r="E18" s="42">
        <v>50000.0</v>
      </c>
      <c r="F18" s="42">
        <v>50000.0</v>
      </c>
      <c r="G18" s="42">
        <v>50000.0</v>
      </c>
      <c r="H18" s="42">
        <v>52500.0</v>
      </c>
      <c r="I18" s="42">
        <v>52500.0</v>
      </c>
      <c r="J18" s="42">
        <v>52500.0</v>
      </c>
      <c r="K18" s="42">
        <v>55125.0</v>
      </c>
      <c r="L18" s="42">
        <v>55125.0</v>
      </c>
      <c r="M18" s="42">
        <v>55125.0</v>
      </c>
      <c r="N18" s="42">
        <v>57881.0</v>
      </c>
      <c r="O18" s="42">
        <v>57881.0</v>
      </c>
      <c r="P18" s="42">
        <v>57881.0</v>
      </c>
      <c r="Q18" s="42">
        <v>60775.0</v>
      </c>
      <c r="R18" s="42">
        <v>60775.0</v>
      </c>
      <c r="S18" s="42">
        <v>60775.0</v>
      </c>
      <c r="T18" s="42">
        <v>60775.0</v>
      </c>
      <c r="U18" s="38"/>
      <c r="V18" s="30" t="s">
        <v>35</v>
      </c>
      <c r="W18" s="38"/>
      <c r="X18" s="38"/>
      <c r="Y18" s="38"/>
      <c r="Z18" s="38"/>
      <c r="AA18" s="38"/>
    </row>
    <row r="19">
      <c r="A19" s="27" t="s">
        <v>36</v>
      </c>
      <c r="B19" s="38">
        <f t="shared" si="6"/>
        <v>1996000</v>
      </c>
      <c r="C19" s="42"/>
      <c r="D19" s="42">
        <v>100000.0</v>
      </c>
      <c r="E19" s="42">
        <v>100000.0</v>
      </c>
      <c r="F19" s="42">
        <v>100000.0</v>
      </c>
      <c r="G19" s="42">
        <v>100000.0</v>
      </c>
      <c r="H19" s="42">
        <v>100000.0</v>
      </c>
      <c r="I19" s="42">
        <v>100000.0</v>
      </c>
      <c r="J19" s="42">
        <v>100000.0</v>
      </c>
      <c r="K19" s="42">
        <v>120000.0</v>
      </c>
      <c r="L19" s="42">
        <v>120000.0</v>
      </c>
      <c r="M19" s="42">
        <v>120000.0</v>
      </c>
      <c r="N19" s="42">
        <v>120000.0</v>
      </c>
      <c r="O19" s="42">
        <v>120000.0</v>
      </c>
      <c r="P19" s="42">
        <v>120000.0</v>
      </c>
      <c r="Q19" s="42">
        <v>144000.0</v>
      </c>
      <c r="R19" s="42">
        <v>144000.0</v>
      </c>
      <c r="S19" s="42">
        <v>144000.0</v>
      </c>
      <c r="T19" s="42">
        <v>144000.0</v>
      </c>
      <c r="U19" s="38"/>
      <c r="V19" s="44" t="s">
        <v>37</v>
      </c>
      <c r="W19" s="38"/>
      <c r="X19" s="38"/>
      <c r="Y19" s="38"/>
      <c r="Z19" s="38"/>
      <c r="AA19" s="38"/>
    </row>
    <row r="20">
      <c r="A20" s="27" t="s">
        <v>38</v>
      </c>
      <c r="B20" s="38">
        <f t="shared" si="6"/>
        <v>1106000</v>
      </c>
      <c r="C20" s="42"/>
      <c r="D20" s="42">
        <v>50000.0</v>
      </c>
      <c r="E20" s="42">
        <v>50000.0</v>
      </c>
      <c r="F20" s="42">
        <v>50000.0</v>
      </c>
      <c r="G20" s="42">
        <v>50000.0</v>
      </c>
      <c r="H20" s="42">
        <v>50000.0</v>
      </c>
      <c r="I20" s="42">
        <v>50000.0</v>
      </c>
      <c r="J20" s="42">
        <v>50000.0</v>
      </c>
      <c r="K20" s="42">
        <v>70000.0</v>
      </c>
      <c r="L20" s="42">
        <v>70000.0</v>
      </c>
      <c r="M20" s="42">
        <v>70000.0</v>
      </c>
      <c r="N20" s="42">
        <v>70000.0</v>
      </c>
      <c r="O20" s="42">
        <v>70000.0</v>
      </c>
      <c r="P20" s="42">
        <v>70000.0</v>
      </c>
      <c r="Q20" s="42">
        <v>84000.0</v>
      </c>
      <c r="R20" s="42">
        <v>84000.0</v>
      </c>
      <c r="S20" s="42">
        <v>84000.0</v>
      </c>
      <c r="T20" s="42">
        <v>84000.0</v>
      </c>
      <c r="U20" s="38"/>
      <c r="V20" s="44" t="s">
        <v>37</v>
      </c>
      <c r="W20" s="38"/>
      <c r="X20" s="38"/>
      <c r="Y20" s="38"/>
      <c r="Z20" s="38"/>
      <c r="AA20" s="38"/>
    </row>
    <row r="21">
      <c r="A21" s="27" t="s">
        <v>39</v>
      </c>
      <c r="B21" s="38">
        <f t="shared" si="6"/>
        <v>350400</v>
      </c>
      <c r="C21" s="42"/>
      <c r="D21" s="42"/>
      <c r="E21" s="42"/>
      <c r="F21" s="42">
        <v>20000.0</v>
      </c>
      <c r="G21" s="42">
        <v>20000.0</v>
      </c>
      <c r="H21" s="42">
        <v>20000.0</v>
      </c>
      <c r="I21" s="42">
        <v>20000.0</v>
      </c>
      <c r="J21" s="42">
        <v>20000.0</v>
      </c>
      <c r="K21" s="42">
        <v>20000.0</v>
      </c>
      <c r="L21" s="42">
        <v>24000.0</v>
      </c>
      <c r="M21" s="42">
        <v>24000.0</v>
      </c>
      <c r="N21" s="42">
        <v>24000.0</v>
      </c>
      <c r="O21" s="42">
        <v>24000.0</v>
      </c>
      <c r="P21" s="42">
        <v>24000.0</v>
      </c>
      <c r="Q21" s="42">
        <v>24000.0</v>
      </c>
      <c r="R21" s="42">
        <v>28800.0</v>
      </c>
      <c r="S21" s="42">
        <v>28800.0</v>
      </c>
      <c r="T21" s="42">
        <v>28800.0</v>
      </c>
      <c r="U21" s="38"/>
      <c r="V21" s="44" t="s">
        <v>40</v>
      </c>
      <c r="W21" s="38"/>
      <c r="X21" s="38"/>
      <c r="Y21" s="38"/>
      <c r="Z21" s="38"/>
      <c r="AA21" s="38"/>
    </row>
    <row r="22">
      <c r="A22" s="27" t="s">
        <v>41</v>
      </c>
      <c r="B22" s="30"/>
      <c r="C22" s="42"/>
      <c r="D22" s="42">
        <v>50000.0</v>
      </c>
      <c r="E22" s="42">
        <v>50000.0</v>
      </c>
      <c r="F22" s="42">
        <v>50000.0</v>
      </c>
      <c r="G22" s="42">
        <v>60000.0</v>
      </c>
      <c r="H22" s="42">
        <v>60000.0</v>
      </c>
      <c r="I22" s="42">
        <v>60000.0</v>
      </c>
      <c r="J22" s="42">
        <v>72000.0</v>
      </c>
      <c r="K22" s="42">
        <v>72000.0</v>
      </c>
      <c r="L22" s="42">
        <v>72000.0</v>
      </c>
      <c r="M22" s="42">
        <f t="shared" ref="M22:O22" si="7">72000*1.2</f>
        <v>86400</v>
      </c>
      <c r="N22" s="42">
        <f t="shared" si="7"/>
        <v>86400</v>
      </c>
      <c r="O22" s="42">
        <f t="shared" si="7"/>
        <v>86400</v>
      </c>
      <c r="P22" s="42">
        <f t="shared" ref="P22:R22" si="8">86400*1.2</f>
        <v>103680</v>
      </c>
      <c r="Q22" s="42">
        <f t="shared" si="8"/>
        <v>103680</v>
      </c>
      <c r="R22" s="42">
        <f t="shared" si="8"/>
        <v>103680</v>
      </c>
      <c r="S22" s="42">
        <f t="shared" ref="S22:T22" si="9">103680*1.2</f>
        <v>124416</v>
      </c>
      <c r="T22" s="42">
        <f t="shared" si="9"/>
        <v>124416</v>
      </c>
      <c r="U22" s="38"/>
      <c r="V22" s="44" t="s">
        <v>37</v>
      </c>
      <c r="W22" s="38"/>
      <c r="X22" s="38"/>
      <c r="Y22" s="38"/>
      <c r="Z22" s="38"/>
      <c r="AA22" s="38"/>
    </row>
    <row r="23">
      <c r="A23" s="30"/>
      <c r="B23" s="30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0"/>
      <c r="V23" s="30"/>
      <c r="W23" s="30"/>
      <c r="X23" s="30"/>
      <c r="Y23" s="30"/>
      <c r="Z23" s="30"/>
      <c r="AA23" s="30"/>
    </row>
    <row r="24">
      <c r="A24" s="45" t="s">
        <v>42</v>
      </c>
      <c r="B24" s="46"/>
      <c r="C24" s="32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30"/>
      <c r="B25" s="30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0"/>
      <c r="V25" s="30"/>
      <c r="W25" s="30"/>
      <c r="X25" s="30"/>
      <c r="Y25" s="30"/>
      <c r="Z25" s="30"/>
      <c r="AA25" s="30"/>
    </row>
    <row r="26">
      <c r="A26" s="30" t="s">
        <v>43</v>
      </c>
      <c r="B26" s="38">
        <f t="shared" ref="B26:B31" si="10">sum(C26:T26)</f>
        <v>150000</v>
      </c>
      <c r="C26" s="42">
        <v>0.0</v>
      </c>
      <c r="D26" s="42">
        <v>0.0</v>
      </c>
      <c r="E26" s="42">
        <v>0.0</v>
      </c>
      <c r="F26" s="42">
        <v>10000.0</v>
      </c>
      <c r="G26" s="42">
        <v>10000.0</v>
      </c>
      <c r="H26" s="42">
        <v>10000.0</v>
      </c>
      <c r="I26" s="42">
        <v>10000.0</v>
      </c>
      <c r="J26" s="42">
        <v>10000.0</v>
      </c>
      <c r="K26" s="42">
        <v>10000.0</v>
      </c>
      <c r="L26" s="42">
        <v>10000.0</v>
      </c>
      <c r="M26" s="42">
        <v>10000.0</v>
      </c>
      <c r="N26" s="42">
        <v>10000.0</v>
      </c>
      <c r="O26" s="42">
        <v>10000.0</v>
      </c>
      <c r="P26" s="42">
        <v>10000.0</v>
      </c>
      <c r="Q26" s="42">
        <v>10000.0</v>
      </c>
      <c r="R26" s="42">
        <v>10000.0</v>
      </c>
      <c r="S26" s="42">
        <v>10000.0</v>
      </c>
      <c r="T26" s="42">
        <v>10000.0</v>
      </c>
      <c r="U26" s="30"/>
      <c r="V26" s="30"/>
      <c r="W26" s="30"/>
      <c r="X26" s="30"/>
      <c r="Y26" s="30"/>
      <c r="Z26" s="30"/>
      <c r="AA26" s="30"/>
    </row>
    <row r="27">
      <c r="A27" s="30" t="s">
        <v>44</v>
      </c>
      <c r="B27" s="38">
        <f t="shared" si="10"/>
        <v>67200</v>
      </c>
      <c r="C27" s="42">
        <v>0.0</v>
      </c>
      <c r="D27" s="42">
        <v>0.0</v>
      </c>
      <c r="E27" s="42">
        <v>0.0</v>
      </c>
      <c r="F27" s="42">
        <v>3200.0</v>
      </c>
      <c r="G27" s="42">
        <v>3200.0</v>
      </c>
      <c r="H27" s="42">
        <v>3200.0</v>
      </c>
      <c r="I27" s="42">
        <v>4800.0</v>
      </c>
      <c r="J27" s="42">
        <v>4800.0</v>
      </c>
      <c r="K27" s="42">
        <v>4800.0</v>
      </c>
      <c r="L27" s="42">
        <v>4800.0</v>
      </c>
      <c r="M27" s="42">
        <v>4800.0</v>
      </c>
      <c r="N27" s="42">
        <v>4800.0</v>
      </c>
      <c r="O27" s="42">
        <v>4800.0</v>
      </c>
      <c r="P27" s="42">
        <v>4800.0</v>
      </c>
      <c r="Q27" s="42">
        <v>4800.0</v>
      </c>
      <c r="R27" s="42">
        <v>4800.0</v>
      </c>
      <c r="S27" s="42">
        <v>4800.0</v>
      </c>
      <c r="T27" s="42">
        <v>4800.0</v>
      </c>
      <c r="U27" s="30"/>
      <c r="V27" s="30"/>
      <c r="W27" s="30"/>
      <c r="X27" s="30"/>
      <c r="Y27" s="30"/>
      <c r="Z27" s="30"/>
      <c r="AA27" s="30"/>
    </row>
    <row r="28">
      <c r="A28" s="30" t="s">
        <v>45</v>
      </c>
      <c r="B28" s="38">
        <f t="shared" si="10"/>
        <v>7500</v>
      </c>
      <c r="C28" s="42">
        <v>0.0</v>
      </c>
      <c r="D28" s="42">
        <v>0.0</v>
      </c>
      <c r="E28" s="42">
        <v>0.0</v>
      </c>
      <c r="F28" s="38">
        <v>500.0</v>
      </c>
      <c r="G28" s="38">
        <v>500.0</v>
      </c>
      <c r="H28" s="38">
        <v>500.0</v>
      </c>
      <c r="I28" s="38">
        <v>500.0</v>
      </c>
      <c r="J28" s="38">
        <v>500.0</v>
      </c>
      <c r="K28" s="38">
        <v>500.0</v>
      </c>
      <c r="L28" s="38">
        <v>500.0</v>
      </c>
      <c r="M28" s="38">
        <v>500.0</v>
      </c>
      <c r="N28" s="38">
        <v>500.0</v>
      </c>
      <c r="O28" s="38">
        <v>500.0</v>
      </c>
      <c r="P28" s="38">
        <v>500.0</v>
      </c>
      <c r="Q28" s="38">
        <v>500.0</v>
      </c>
      <c r="R28" s="38">
        <v>500.0</v>
      </c>
      <c r="S28" s="38">
        <v>500.0</v>
      </c>
      <c r="T28" s="38">
        <v>500.0</v>
      </c>
      <c r="U28" s="30"/>
      <c r="V28" s="30"/>
      <c r="W28" s="30"/>
      <c r="X28" s="30"/>
      <c r="Y28" s="30"/>
      <c r="Z28" s="30"/>
      <c r="AA28" s="30"/>
    </row>
    <row r="29">
      <c r="A29" s="30" t="s">
        <v>46</v>
      </c>
      <c r="B29" s="30">
        <f t="shared" si="10"/>
        <v>0</v>
      </c>
      <c r="C29" s="30">
        <f t="shared" ref="C29:T29" si="11">sum(D29:U29)</f>
        <v>0</v>
      </c>
      <c r="D29" s="30">
        <f t="shared" si="11"/>
        <v>0</v>
      </c>
      <c r="E29" s="30">
        <f t="shared" si="11"/>
        <v>0</v>
      </c>
      <c r="F29" s="30">
        <f t="shared" si="11"/>
        <v>0</v>
      </c>
      <c r="G29" s="30">
        <f t="shared" si="11"/>
        <v>0</v>
      </c>
      <c r="H29" s="30">
        <f t="shared" si="11"/>
        <v>0</v>
      </c>
      <c r="I29" s="30">
        <f t="shared" si="11"/>
        <v>0</v>
      </c>
      <c r="J29" s="30">
        <f t="shared" si="11"/>
        <v>0</v>
      </c>
      <c r="K29" s="30">
        <f t="shared" si="11"/>
        <v>0</v>
      </c>
      <c r="L29" s="30">
        <f t="shared" si="11"/>
        <v>0</v>
      </c>
      <c r="M29" s="30">
        <f t="shared" si="11"/>
        <v>0</v>
      </c>
      <c r="N29" s="30">
        <f t="shared" si="11"/>
        <v>0</v>
      </c>
      <c r="O29" s="30">
        <f t="shared" si="11"/>
        <v>0</v>
      </c>
      <c r="P29" s="30">
        <f t="shared" si="11"/>
        <v>0</v>
      </c>
      <c r="Q29" s="30">
        <f t="shared" si="11"/>
        <v>0</v>
      </c>
      <c r="R29" s="30">
        <f t="shared" si="11"/>
        <v>0</v>
      </c>
      <c r="S29" s="30">
        <f t="shared" si="11"/>
        <v>0</v>
      </c>
      <c r="T29" s="30">
        <f t="shared" si="11"/>
        <v>0</v>
      </c>
      <c r="U29" s="30"/>
      <c r="V29" s="30"/>
      <c r="W29" s="30"/>
      <c r="X29" s="30"/>
      <c r="Y29" s="30"/>
      <c r="Z29" s="30"/>
      <c r="AA29" s="30"/>
    </row>
    <row r="30">
      <c r="A30" s="27" t="s">
        <v>47</v>
      </c>
      <c r="B30" s="30">
        <f t="shared" si="10"/>
        <v>0</v>
      </c>
      <c r="C30" s="30">
        <f t="shared" ref="C30:T30" si="12">sum(D30:U30)</f>
        <v>0</v>
      </c>
      <c r="D30" s="30">
        <f t="shared" si="12"/>
        <v>0</v>
      </c>
      <c r="E30" s="30">
        <f t="shared" si="12"/>
        <v>0</v>
      </c>
      <c r="F30" s="30">
        <f t="shared" si="12"/>
        <v>0</v>
      </c>
      <c r="G30" s="30">
        <f t="shared" si="12"/>
        <v>0</v>
      </c>
      <c r="H30" s="30">
        <f t="shared" si="12"/>
        <v>0</v>
      </c>
      <c r="I30" s="30">
        <f t="shared" si="12"/>
        <v>0</v>
      </c>
      <c r="J30" s="30">
        <f t="shared" si="12"/>
        <v>0</v>
      </c>
      <c r="K30" s="30">
        <f t="shared" si="12"/>
        <v>0</v>
      </c>
      <c r="L30" s="30">
        <f t="shared" si="12"/>
        <v>0</v>
      </c>
      <c r="M30" s="30">
        <f t="shared" si="12"/>
        <v>0</v>
      </c>
      <c r="N30" s="30">
        <f t="shared" si="12"/>
        <v>0</v>
      </c>
      <c r="O30" s="30">
        <f t="shared" si="12"/>
        <v>0</v>
      </c>
      <c r="P30" s="30">
        <f t="shared" si="12"/>
        <v>0</v>
      </c>
      <c r="Q30" s="30">
        <f t="shared" si="12"/>
        <v>0</v>
      </c>
      <c r="R30" s="30">
        <f t="shared" si="12"/>
        <v>0</v>
      </c>
      <c r="S30" s="30">
        <f t="shared" si="12"/>
        <v>0</v>
      </c>
      <c r="T30" s="30">
        <f t="shared" si="12"/>
        <v>0</v>
      </c>
      <c r="U30" s="30"/>
      <c r="V30" s="30"/>
      <c r="W30" s="30"/>
      <c r="X30" s="30"/>
      <c r="Y30" s="30"/>
      <c r="Z30" s="30"/>
      <c r="AA30" s="30"/>
    </row>
    <row r="31">
      <c r="A31" s="30" t="s">
        <v>48</v>
      </c>
      <c r="B31" s="38">
        <f t="shared" si="10"/>
        <v>0</v>
      </c>
      <c r="C31" s="38">
        <v>0.0</v>
      </c>
      <c r="D31" s="38">
        <v>0.0</v>
      </c>
      <c r="E31" s="42">
        <v>0.0</v>
      </c>
      <c r="F31" s="42">
        <v>0.0</v>
      </c>
      <c r="G31" s="42">
        <v>0.0</v>
      </c>
      <c r="H31" s="42">
        <v>0.0</v>
      </c>
      <c r="I31" s="42">
        <v>0.0</v>
      </c>
      <c r="J31" s="42">
        <v>0.0</v>
      </c>
      <c r="K31" s="42">
        <v>0.0</v>
      </c>
      <c r="L31" s="42">
        <v>0.0</v>
      </c>
      <c r="M31" s="42">
        <v>0.0</v>
      </c>
      <c r="N31" s="42">
        <v>0.0</v>
      </c>
      <c r="O31" s="42">
        <v>0.0</v>
      </c>
      <c r="P31" s="42">
        <v>0.0</v>
      </c>
      <c r="Q31" s="42">
        <v>0.0</v>
      </c>
      <c r="R31" s="42">
        <v>0.0</v>
      </c>
      <c r="S31" s="42">
        <v>0.0</v>
      </c>
      <c r="T31" s="42">
        <v>0.0</v>
      </c>
      <c r="U31" s="30"/>
      <c r="V31" s="30"/>
      <c r="W31" s="30"/>
      <c r="X31" s="30"/>
      <c r="Y31" s="30"/>
      <c r="Z31" s="30"/>
      <c r="AA31" s="30"/>
    </row>
    <row r="32">
      <c r="A32" s="30"/>
      <c r="B32" s="30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0"/>
      <c r="V32" s="30"/>
      <c r="W32" s="30"/>
      <c r="X32" s="30"/>
      <c r="Y32" s="30"/>
      <c r="Z32" s="30"/>
      <c r="AA32" s="30"/>
    </row>
    <row r="33">
      <c r="A33" s="30"/>
      <c r="B33" s="30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0"/>
      <c r="V33" s="30"/>
      <c r="W33" s="30"/>
      <c r="X33" s="30"/>
      <c r="Y33" s="30"/>
      <c r="Z33" s="30"/>
      <c r="AA33" s="30"/>
    </row>
    <row r="34">
      <c r="A34" s="40" t="s">
        <v>49</v>
      </c>
      <c r="B34" s="33"/>
      <c r="C34" s="32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30"/>
      <c r="B35" s="30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0"/>
      <c r="V35" s="30"/>
      <c r="W35" s="30"/>
      <c r="X35" s="30"/>
      <c r="Y35" s="30"/>
      <c r="Z35" s="30"/>
      <c r="AA35" s="30"/>
    </row>
    <row r="36">
      <c r="A36" s="30" t="s">
        <v>50</v>
      </c>
      <c r="B36" s="38">
        <f t="shared" ref="B36:B38" si="13">sum(C36:T36)</f>
        <v>549800</v>
      </c>
      <c r="C36" s="42">
        <v>0.0</v>
      </c>
      <c r="D36" s="38">
        <v>0.0</v>
      </c>
      <c r="E36" s="42">
        <v>259900.0</v>
      </c>
      <c r="F36" s="42">
        <f>sum(F37:F38)</f>
        <v>289900</v>
      </c>
      <c r="G36" s="38">
        <v>0.0</v>
      </c>
      <c r="H36" s="42">
        <v>0.0</v>
      </c>
      <c r="I36" s="38">
        <v>0.0</v>
      </c>
      <c r="J36" s="38">
        <v>0.0</v>
      </c>
      <c r="K36" s="42">
        <v>0.0</v>
      </c>
      <c r="L36" s="38">
        <v>0.0</v>
      </c>
      <c r="M36" s="38">
        <v>0.0</v>
      </c>
      <c r="N36" s="42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0"/>
      <c r="V36" s="30"/>
      <c r="W36" s="30"/>
      <c r="X36" s="30"/>
      <c r="Y36" s="30"/>
      <c r="Z36" s="30"/>
      <c r="AA36" s="30"/>
    </row>
    <row r="37">
      <c r="A37" s="30" t="s">
        <v>51</v>
      </c>
      <c r="B37" s="38">
        <f t="shared" si="13"/>
        <v>539800</v>
      </c>
      <c r="C37" s="42">
        <v>0.0</v>
      </c>
      <c r="D37" s="38">
        <v>0.0</v>
      </c>
      <c r="E37" s="42">
        <v>259900.0</v>
      </c>
      <c r="F37" s="42">
        <v>279900.0</v>
      </c>
      <c r="G37" s="42">
        <v>0.0</v>
      </c>
      <c r="H37" s="42">
        <v>0.0</v>
      </c>
      <c r="I37" s="38">
        <v>0.0</v>
      </c>
      <c r="J37" s="38">
        <v>0.0</v>
      </c>
      <c r="K37" s="42">
        <v>0.0</v>
      </c>
      <c r="L37" s="38">
        <v>0.0</v>
      </c>
      <c r="M37" s="38">
        <v>0.0</v>
      </c>
      <c r="N37" s="42">
        <v>0.0</v>
      </c>
      <c r="O37" s="38">
        <v>0.0</v>
      </c>
      <c r="P37" s="38">
        <v>0.0</v>
      </c>
      <c r="Q37" s="38">
        <v>0.0</v>
      </c>
      <c r="R37" s="38">
        <v>0.0</v>
      </c>
      <c r="S37" s="38">
        <v>0.0</v>
      </c>
      <c r="T37" s="38">
        <v>0.0</v>
      </c>
      <c r="U37" s="30"/>
      <c r="V37" s="30"/>
      <c r="W37" s="30"/>
      <c r="X37" s="30"/>
      <c r="Y37" s="30"/>
      <c r="Z37" s="30"/>
      <c r="AA37" s="30"/>
    </row>
    <row r="38">
      <c r="A38" s="30" t="s">
        <v>52</v>
      </c>
      <c r="B38" s="38">
        <f t="shared" si="13"/>
        <v>10000</v>
      </c>
      <c r="C38" s="42">
        <v>0.0</v>
      </c>
      <c r="D38" s="38">
        <v>0.0</v>
      </c>
      <c r="E38" s="42">
        <v>0.0</v>
      </c>
      <c r="F38" s="42">
        <v>10000.0</v>
      </c>
      <c r="G38" s="38">
        <v>0.0</v>
      </c>
      <c r="H38" s="42">
        <v>0.0</v>
      </c>
      <c r="I38" s="38">
        <v>0.0</v>
      </c>
      <c r="J38" s="38">
        <v>0.0</v>
      </c>
      <c r="K38" s="42">
        <v>0.0</v>
      </c>
      <c r="L38" s="38">
        <v>0.0</v>
      </c>
      <c r="M38" s="38">
        <v>0.0</v>
      </c>
      <c r="N38" s="42">
        <v>0.0</v>
      </c>
      <c r="O38" s="38">
        <v>0.0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0"/>
      <c r="V38" s="30"/>
      <c r="W38" s="30"/>
      <c r="X38" s="30"/>
      <c r="Y38" s="30"/>
      <c r="Z38" s="30"/>
      <c r="AA38" s="30"/>
    </row>
    <row r="39">
      <c r="A39" s="30"/>
      <c r="B39" s="30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0"/>
      <c r="V39" s="30"/>
      <c r="W39" s="30"/>
      <c r="X39" s="30"/>
      <c r="Y39" s="30"/>
      <c r="Z39" s="30"/>
      <c r="AA39" s="30"/>
    </row>
    <row r="40">
      <c r="A40" s="30" t="s">
        <v>53</v>
      </c>
      <c r="B40" s="30"/>
      <c r="C40" s="42">
        <v>0.0</v>
      </c>
      <c r="D40" s="42">
        <v>0.0</v>
      </c>
      <c r="E40" s="42">
        <v>4332.0</v>
      </c>
      <c r="F40" s="38">
        <f t="shared" ref="F40:T40" si="14">sum(F41:F42)</f>
        <v>9163</v>
      </c>
      <c r="G40" s="38">
        <f t="shared" si="14"/>
        <v>9163</v>
      </c>
      <c r="H40" s="38">
        <f t="shared" si="14"/>
        <v>9163</v>
      </c>
      <c r="I40" s="38">
        <f t="shared" si="14"/>
        <v>9163</v>
      </c>
      <c r="J40" s="38">
        <f t="shared" si="14"/>
        <v>9163</v>
      </c>
      <c r="K40" s="38">
        <f t="shared" si="14"/>
        <v>9163</v>
      </c>
      <c r="L40" s="38">
        <f t="shared" si="14"/>
        <v>9163</v>
      </c>
      <c r="M40" s="38">
        <f t="shared" si="14"/>
        <v>9163</v>
      </c>
      <c r="N40" s="38">
        <f t="shared" si="14"/>
        <v>9163</v>
      </c>
      <c r="O40" s="38">
        <f t="shared" si="14"/>
        <v>9163</v>
      </c>
      <c r="P40" s="38">
        <f t="shared" si="14"/>
        <v>9163</v>
      </c>
      <c r="Q40" s="38">
        <f t="shared" si="14"/>
        <v>9163</v>
      </c>
      <c r="R40" s="38">
        <f t="shared" si="14"/>
        <v>9163</v>
      </c>
      <c r="S40" s="38">
        <f t="shared" si="14"/>
        <v>9163</v>
      </c>
      <c r="T40" s="38">
        <f t="shared" si="14"/>
        <v>9163</v>
      </c>
      <c r="U40" s="30"/>
      <c r="V40" s="30"/>
      <c r="W40" s="30"/>
      <c r="X40" s="30"/>
      <c r="Y40" s="30"/>
      <c r="Z40" s="30"/>
      <c r="AA40" s="30"/>
    </row>
    <row r="41">
      <c r="A41" s="30" t="s">
        <v>51</v>
      </c>
      <c r="B41" s="30"/>
      <c r="C41" s="42">
        <v>0.0</v>
      </c>
      <c r="D41" s="42">
        <v>0.0</v>
      </c>
      <c r="E41" s="42">
        <v>4332.0</v>
      </c>
      <c r="F41" s="38">
        <f t="shared" ref="F41:T41" si="15">4332+4665+83</f>
        <v>9080</v>
      </c>
      <c r="G41" s="38">
        <f t="shared" si="15"/>
        <v>9080</v>
      </c>
      <c r="H41" s="38">
        <f t="shared" si="15"/>
        <v>9080</v>
      </c>
      <c r="I41" s="38">
        <f t="shared" si="15"/>
        <v>9080</v>
      </c>
      <c r="J41" s="38">
        <f t="shared" si="15"/>
        <v>9080</v>
      </c>
      <c r="K41" s="38">
        <f t="shared" si="15"/>
        <v>9080</v>
      </c>
      <c r="L41" s="38">
        <f t="shared" si="15"/>
        <v>9080</v>
      </c>
      <c r="M41" s="38">
        <f t="shared" si="15"/>
        <v>9080</v>
      </c>
      <c r="N41" s="38">
        <f t="shared" si="15"/>
        <v>9080</v>
      </c>
      <c r="O41" s="38">
        <f t="shared" si="15"/>
        <v>9080</v>
      </c>
      <c r="P41" s="38">
        <f t="shared" si="15"/>
        <v>9080</v>
      </c>
      <c r="Q41" s="38">
        <f t="shared" si="15"/>
        <v>9080</v>
      </c>
      <c r="R41" s="38">
        <f t="shared" si="15"/>
        <v>9080</v>
      </c>
      <c r="S41" s="38">
        <f t="shared" si="15"/>
        <v>9080</v>
      </c>
      <c r="T41" s="38">
        <f t="shared" si="15"/>
        <v>9080</v>
      </c>
      <c r="U41" s="30"/>
      <c r="V41" s="30"/>
      <c r="W41" s="30"/>
      <c r="X41" s="30"/>
      <c r="Y41" s="30"/>
      <c r="Z41" s="30"/>
      <c r="AA41" s="30"/>
    </row>
    <row r="42">
      <c r="A42" s="30" t="s">
        <v>52</v>
      </c>
      <c r="B42" s="30"/>
      <c r="C42" s="42">
        <v>0.0</v>
      </c>
      <c r="D42" s="42">
        <v>0.0</v>
      </c>
      <c r="E42" s="42">
        <v>0.0</v>
      </c>
      <c r="F42" s="42">
        <v>83.0</v>
      </c>
      <c r="G42" s="42">
        <v>83.0</v>
      </c>
      <c r="H42" s="42">
        <v>83.0</v>
      </c>
      <c r="I42" s="42">
        <v>83.0</v>
      </c>
      <c r="J42" s="42">
        <v>83.0</v>
      </c>
      <c r="K42" s="42">
        <v>83.0</v>
      </c>
      <c r="L42" s="42">
        <v>83.0</v>
      </c>
      <c r="M42" s="42">
        <v>83.0</v>
      </c>
      <c r="N42" s="42">
        <v>83.0</v>
      </c>
      <c r="O42" s="42">
        <v>83.0</v>
      </c>
      <c r="P42" s="42">
        <v>83.0</v>
      </c>
      <c r="Q42" s="42">
        <v>83.0</v>
      </c>
      <c r="R42" s="42">
        <v>83.0</v>
      </c>
      <c r="S42" s="42">
        <v>83.0</v>
      </c>
      <c r="T42" s="42">
        <v>83.0</v>
      </c>
      <c r="U42" s="30"/>
      <c r="V42" s="30"/>
      <c r="W42" s="30"/>
      <c r="X42" s="30"/>
      <c r="Y42" s="30"/>
      <c r="Z42" s="30"/>
      <c r="AA42" s="30"/>
    </row>
    <row r="43">
      <c r="A43" s="30"/>
      <c r="B43" s="30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0"/>
      <c r="V43" s="30"/>
      <c r="W43" s="30"/>
      <c r="X43" s="30"/>
      <c r="Y43" s="30"/>
      <c r="Z43" s="30"/>
      <c r="AA43" s="30"/>
    </row>
    <row r="44">
      <c r="A44" s="30"/>
      <c r="B44" s="30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0"/>
      <c r="V44" s="30"/>
      <c r="W44" s="30"/>
      <c r="X44" s="30"/>
      <c r="Y44" s="30"/>
      <c r="Z44" s="30"/>
      <c r="AA44" s="30"/>
    </row>
    <row r="45">
      <c r="A45" s="47" t="s">
        <v>54</v>
      </c>
      <c r="B45" s="48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8"/>
      <c r="V45" s="48"/>
      <c r="W45" s="48"/>
      <c r="X45" s="48"/>
      <c r="Y45" s="48"/>
      <c r="Z45" s="48"/>
      <c r="AA45" s="48"/>
    </row>
    <row r="46">
      <c r="A46" s="50" t="s">
        <v>55</v>
      </c>
      <c r="B46" s="51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1"/>
      <c r="V46" s="51"/>
      <c r="W46" s="51"/>
      <c r="X46" s="51"/>
      <c r="Y46" s="51"/>
      <c r="Z46" s="51"/>
      <c r="AA46" s="51"/>
    </row>
    <row r="47">
      <c r="A47" s="53" t="s">
        <v>56</v>
      </c>
      <c r="B47" s="53" t="s">
        <v>57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5"/>
      <c r="V47" s="55"/>
      <c r="W47" s="55"/>
      <c r="X47" s="55"/>
      <c r="Y47" s="55"/>
      <c r="Z47" s="55"/>
      <c r="AA47" s="55"/>
    </row>
    <row r="48">
      <c r="A48" s="55" t="s">
        <v>58</v>
      </c>
      <c r="B48" s="56">
        <v>1200.0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5"/>
      <c r="V48" s="55"/>
      <c r="W48" s="55"/>
      <c r="X48" s="55"/>
      <c r="Y48" s="55"/>
      <c r="Z48" s="55"/>
      <c r="AA48" s="55"/>
    </row>
    <row r="49">
      <c r="A49" s="55" t="s">
        <v>59</v>
      </c>
      <c r="B49" s="56">
        <v>2000.0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5"/>
      <c r="V49" s="55"/>
      <c r="W49" s="55"/>
      <c r="X49" s="55"/>
      <c r="Y49" s="55"/>
      <c r="Z49" s="55"/>
      <c r="AA49" s="55"/>
    </row>
    <row r="50">
      <c r="A50" s="55" t="s">
        <v>18</v>
      </c>
      <c r="B50" s="56">
        <v>3200.0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5"/>
      <c r="V50" s="55"/>
      <c r="W50" s="55"/>
      <c r="X50" s="55"/>
      <c r="Y50" s="55"/>
      <c r="Z50" s="55"/>
      <c r="AA50" s="55"/>
    </row>
    <row r="51">
      <c r="A51" s="55"/>
      <c r="B51" s="56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5"/>
      <c r="V51" s="55"/>
      <c r="W51" s="55"/>
      <c r="X51" s="55"/>
      <c r="Y51" s="55"/>
      <c r="Z51" s="55"/>
      <c r="AA51" s="55"/>
    </row>
    <row r="52">
      <c r="A52" s="57" t="s">
        <v>60</v>
      </c>
      <c r="B52" s="56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5"/>
      <c r="V52" s="55"/>
      <c r="W52" s="55"/>
      <c r="X52" s="55"/>
      <c r="Y52" s="55"/>
      <c r="Z52" s="55"/>
      <c r="AA52" s="55"/>
    </row>
    <row r="53">
      <c r="A53" s="58" t="s">
        <v>61</v>
      </c>
      <c r="B53" s="42" t="s">
        <v>62</v>
      </c>
      <c r="C53" s="42" t="s">
        <v>63</v>
      </c>
      <c r="D53" s="42" t="s">
        <v>64</v>
      </c>
      <c r="E53" s="59" t="s">
        <v>65</v>
      </c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5"/>
      <c r="V53" s="55"/>
      <c r="W53" s="55"/>
      <c r="X53" s="55"/>
      <c r="Y53" s="55"/>
      <c r="Z53" s="55"/>
      <c r="AA53" s="55"/>
    </row>
    <row r="54">
      <c r="A54" s="58" t="s">
        <v>66</v>
      </c>
      <c r="B54" s="60">
        <v>30.0</v>
      </c>
      <c r="C54" s="60">
        <v>120.0</v>
      </c>
      <c r="D54" s="61">
        <v>300.0</v>
      </c>
      <c r="E54" s="60">
        <v>10.0</v>
      </c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5"/>
      <c r="V54" s="55"/>
      <c r="W54" s="55"/>
      <c r="X54" s="55"/>
      <c r="Y54" s="55"/>
      <c r="Z54" s="55"/>
      <c r="AA54" s="55"/>
    </row>
    <row r="55">
      <c r="A55" s="58" t="s">
        <v>67</v>
      </c>
      <c r="B55" s="60">
        <v>96000.0</v>
      </c>
      <c r="C55" s="60">
        <v>384000.0</v>
      </c>
      <c r="D55" s="61">
        <v>960000.0</v>
      </c>
      <c r="E55" s="60">
        <v>32000.0</v>
      </c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5"/>
      <c r="V55" s="55"/>
      <c r="W55" s="55"/>
      <c r="X55" s="55"/>
      <c r="Y55" s="55"/>
      <c r="Z55" s="55"/>
      <c r="AA55" s="55"/>
    </row>
    <row r="56">
      <c r="A56" s="55"/>
      <c r="B56" s="56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5"/>
      <c r="V56" s="55"/>
      <c r="W56" s="55"/>
      <c r="X56" s="55"/>
      <c r="Y56" s="55"/>
      <c r="Z56" s="55"/>
      <c r="AA56" s="55"/>
    </row>
    <row r="57">
      <c r="A57" s="62" t="s">
        <v>61</v>
      </c>
      <c r="B57" s="63" t="s">
        <v>68</v>
      </c>
      <c r="C57" s="63" t="s">
        <v>69</v>
      </c>
      <c r="D57" s="63" t="s">
        <v>70</v>
      </c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5"/>
      <c r="V57" s="55"/>
      <c r="W57" s="55"/>
      <c r="X57" s="55"/>
      <c r="Y57" s="55"/>
      <c r="Z57" s="55"/>
      <c r="AA57" s="55"/>
    </row>
    <row r="58">
      <c r="A58" s="27" t="s">
        <v>71</v>
      </c>
      <c r="B58" s="42">
        <v>399.0</v>
      </c>
      <c r="C58" s="42">
        <v>24.0</v>
      </c>
      <c r="D58" s="42" t="s">
        <v>72</v>
      </c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5"/>
      <c r="V58" s="55"/>
      <c r="W58" s="55"/>
      <c r="X58" s="55"/>
      <c r="Y58" s="55"/>
      <c r="Z58" s="55"/>
      <c r="AA58" s="55"/>
    </row>
    <row r="59">
      <c r="A59" s="27" t="s">
        <v>73</v>
      </c>
      <c r="B59" s="42">
        <v>999.0</v>
      </c>
      <c r="C59" s="42">
        <v>96.0</v>
      </c>
      <c r="D59" s="42" t="s">
        <v>74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5"/>
      <c r="V59" s="55"/>
      <c r="W59" s="55"/>
      <c r="X59" s="55"/>
      <c r="Y59" s="55"/>
      <c r="Z59" s="55"/>
      <c r="AA59" s="55"/>
    </row>
    <row r="60">
      <c r="A60" s="27" t="s">
        <v>75</v>
      </c>
      <c r="B60" s="42">
        <v>1499.0</v>
      </c>
      <c r="C60" s="42">
        <v>1152.0</v>
      </c>
      <c r="D60" s="42" t="s">
        <v>76</v>
      </c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5"/>
      <c r="V60" s="55"/>
      <c r="W60" s="55"/>
      <c r="X60" s="55"/>
      <c r="Y60" s="55"/>
      <c r="Z60" s="55"/>
      <c r="AA60" s="55"/>
    </row>
    <row r="61">
      <c r="A61" s="55"/>
      <c r="B61" s="56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5"/>
      <c r="V61" s="55"/>
      <c r="W61" s="55"/>
      <c r="X61" s="55"/>
      <c r="Y61" s="55"/>
      <c r="Z61" s="55"/>
      <c r="AA61" s="55"/>
    </row>
    <row r="62">
      <c r="A62" s="55"/>
      <c r="B62" s="56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5"/>
      <c r="V62" s="55"/>
      <c r="W62" s="55"/>
      <c r="X62" s="55"/>
      <c r="Y62" s="55"/>
      <c r="Z62" s="55"/>
      <c r="AA62" s="55"/>
    </row>
    <row r="63">
      <c r="A63" s="40" t="s">
        <v>77</v>
      </c>
      <c r="B63" s="33"/>
      <c r="C63" s="32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30"/>
      <c r="B64" s="30"/>
      <c r="C64" s="38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30"/>
      <c r="B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64" t="s">
        <v>78</v>
      </c>
      <c r="C66" s="28"/>
      <c r="D66" s="29">
        <v>2.0</v>
      </c>
      <c r="E66" s="29">
        <v>3.0</v>
      </c>
      <c r="F66" s="29">
        <v>4.0</v>
      </c>
      <c r="G66" s="29">
        <v>5.0</v>
      </c>
      <c r="H66" s="29">
        <v>6.0</v>
      </c>
      <c r="I66" s="29">
        <v>7.0</v>
      </c>
      <c r="J66" s="29">
        <v>8.0</v>
      </c>
      <c r="K66" s="29">
        <v>9.0</v>
      </c>
      <c r="L66" s="29">
        <v>10.0</v>
      </c>
      <c r="M66" s="29">
        <v>11.0</v>
      </c>
      <c r="N66" s="29">
        <v>12.0</v>
      </c>
      <c r="O66" s="29">
        <v>13.0</v>
      </c>
      <c r="P66" s="29">
        <v>14.0</v>
      </c>
      <c r="Q66" s="29">
        <v>15.0</v>
      </c>
      <c r="R66" s="29">
        <v>16.0</v>
      </c>
      <c r="S66" s="29">
        <v>17.0</v>
      </c>
      <c r="T66" s="29">
        <v>18.0</v>
      </c>
      <c r="U66" s="30"/>
      <c r="V66" s="30"/>
      <c r="W66" s="30"/>
      <c r="X66" s="30"/>
      <c r="Y66" s="30"/>
      <c r="Z66" s="30"/>
      <c r="AA66" s="30"/>
    </row>
    <row r="67">
      <c r="A67" s="55" t="s">
        <v>22</v>
      </c>
      <c r="B67" s="30"/>
      <c r="C67" s="65"/>
      <c r="D67" s="66">
        <f t="shared" ref="D67:T67" si="16">(D5-C5)/C5</f>
        <v>0</v>
      </c>
      <c r="E67" s="66">
        <f t="shared" si="16"/>
        <v>0</v>
      </c>
      <c r="F67" s="66">
        <f t="shared" si="16"/>
        <v>0</v>
      </c>
      <c r="G67" s="66">
        <f t="shared" si="16"/>
        <v>0</v>
      </c>
      <c r="H67" s="66">
        <f t="shared" si="16"/>
        <v>0</v>
      </c>
      <c r="I67" s="66">
        <f t="shared" si="16"/>
        <v>0</v>
      </c>
      <c r="J67" s="66">
        <f t="shared" si="16"/>
        <v>0</v>
      </c>
      <c r="K67" s="66">
        <f t="shared" si="16"/>
        <v>0</v>
      </c>
      <c r="L67" s="66">
        <f t="shared" si="16"/>
        <v>0</v>
      </c>
      <c r="M67" s="66">
        <f t="shared" si="16"/>
        <v>0</v>
      </c>
      <c r="N67" s="66">
        <f t="shared" si="16"/>
        <v>18.16457773</v>
      </c>
      <c r="O67" s="66">
        <f t="shared" si="16"/>
        <v>0</v>
      </c>
      <c r="P67" s="66">
        <f t="shared" si="16"/>
        <v>0</v>
      </c>
      <c r="Q67" s="66">
        <f t="shared" si="16"/>
        <v>0</v>
      </c>
      <c r="R67" s="66">
        <f t="shared" si="16"/>
        <v>0</v>
      </c>
      <c r="S67" s="66">
        <f t="shared" si="16"/>
        <v>0</v>
      </c>
      <c r="T67" s="66">
        <f t="shared" si="16"/>
        <v>0</v>
      </c>
      <c r="U67" s="66"/>
      <c r="V67" s="30"/>
      <c r="W67" s="30"/>
      <c r="X67" s="30"/>
      <c r="Y67" s="30"/>
      <c r="Z67" s="30"/>
      <c r="AA67" s="30"/>
    </row>
    <row r="68">
      <c r="A68" s="55" t="s">
        <v>23</v>
      </c>
      <c r="B68" s="30"/>
      <c r="C68" s="65"/>
      <c r="D68" s="66"/>
      <c r="E68" s="66">
        <f t="shared" ref="E68:T68" si="17">(E6-D6)/D6</f>
        <v>0</v>
      </c>
      <c r="F68" s="66">
        <f t="shared" si="17"/>
        <v>1.5</v>
      </c>
      <c r="G68" s="66">
        <f t="shared" si="17"/>
        <v>0</v>
      </c>
      <c r="H68" s="66">
        <f t="shared" si="17"/>
        <v>0</v>
      </c>
      <c r="I68" s="66">
        <f t="shared" si="17"/>
        <v>0.5</v>
      </c>
      <c r="J68" s="66">
        <f t="shared" si="17"/>
        <v>0</v>
      </c>
      <c r="K68" s="66">
        <f t="shared" si="17"/>
        <v>0.3333333333</v>
      </c>
      <c r="L68" s="66">
        <f t="shared" si="17"/>
        <v>0</v>
      </c>
      <c r="M68" s="66">
        <f t="shared" si="17"/>
        <v>0</v>
      </c>
      <c r="N68" s="66">
        <f t="shared" si="17"/>
        <v>0</v>
      </c>
      <c r="O68" s="66">
        <f t="shared" si="17"/>
        <v>0.25</v>
      </c>
      <c r="P68" s="66">
        <f t="shared" si="17"/>
        <v>0</v>
      </c>
      <c r="Q68" s="66">
        <f t="shared" si="17"/>
        <v>0</v>
      </c>
      <c r="R68" s="66">
        <f t="shared" si="17"/>
        <v>0</v>
      </c>
      <c r="S68" s="66">
        <f t="shared" si="17"/>
        <v>0</v>
      </c>
      <c r="T68" s="66">
        <f t="shared" si="17"/>
        <v>0</v>
      </c>
      <c r="U68" s="67"/>
      <c r="V68" s="30"/>
      <c r="W68" s="30"/>
      <c r="X68" s="30"/>
      <c r="Y68" s="30"/>
      <c r="Z68" s="30"/>
      <c r="AA68" s="30"/>
    </row>
    <row r="69">
      <c r="A69" s="55" t="s">
        <v>24</v>
      </c>
      <c r="B69" s="30"/>
      <c r="C69" s="65"/>
      <c r="D69" s="66"/>
      <c r="E69" s="66">
        <f t="shared" ref="E69:T69" si="18">(E7-D7)/D7</f>
        <v>1</v>
      </c>
      <c r="F69" s="66">
        <f t="shared" si="18"/>
        <v>3.47525</v>
      </c>
      <c r="G69" s="66">
        <f t="shared" si="18"/>
        <v>0.7399865929</v>
      </c>
      <c r="H69" s="66">
        <f t="shared" si="18"/>
        <v>0.4357893892</v>
      </c>
      <c r="I69" s="66">
        <f t="shared" si="18"/>
        <v>0.5699443777</v>
      </c>
      <c r="J69" s="66">
        <f t="shared" si="18"/>
        <v>0.3735220651</v>
      </c>
      <c r="K69" s="66">
        <f t="shared" si="18"/>
        <v>0.2591528474</v>
      </c>
      <c r="L69" s="66">
        <f t="shared" si="18"/>
        <v>0.3072030087</v>
      </c>
      <c r="M69" s="66">
        <f t="shared" si="18"/>
        <v>0.2369813252</v>
      </c>
      <c r="N69" s="66">
        <f t="shared" si="18"/>
        <v>0.193973415</v>
      </c>
      <c r="O69" s="66">
        <f t="shared" si="18"/>
        <v>0.2343658743</v>
      </c>
      <c r="P69" s="66">
        <f t="shared" si="18"/>
        <v>0.1935208264</v>
      </c>
      <c r="Q69" s="66">
        <f t="shared" si="18"/>
        <v>0.1667343535</v>
      </c>
      <c r="R69" s="66">
        <f t="shared" si="18"/>
        <v>0.2154969005</v>
      </c>
      <c r="S69" s="66">
        <f t="shared" si="18"/>
        <v>0.1845759516</v>
      </c>
      <c r="T69" s="66">
        <f t="shared" si="18"/>
        <v>0.1650405642</v>
      </c>
      <c r="U69" s="67"/>
      <c r="V69" s="30"/>
      <c r="W69" s="30"/>
      <c r="X69" s="30"/>
      <c r="Y69" s="30"/>
      <c r="Z69" s="30"/>
      <c r="AA69" s="30"/>
    </row>
    <row r="70">
      <c r="A70" s="30"/>
      <c r="B70" s="30"/>
      <c r="C70" s="65"/>
      <c r="D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68" t="s">
        <v>79</v>
      </c>
      <c r="B71" s="30"/>
      <c r="C71" s="65"/>
      <c r="D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30"/>
      <c r="B72" s="30"/>
      <c r="C72" s="65"/>
      <c r="D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64" t="s">
        <v>80</v>
      </c>
      <c r="B73" s="30"/>
      <c r="C73" s="28"/>
      <c r="D73" s="29">
        <v>2.0</v>
      </c>
      <c r="E73" s="69" t="s">
        <v>81</v>
      </c>
      <c r="F73" s="29">
        <v>4.0</v>
      </c>
      <c r="G73" s="29">
        <v>5.0</v>
      </c>
      <c r="H73" s="29">
        <v>6.0</v>
      </c>
      <c r="I73" s="29">
        <v>7.0</v>
      </c>
      <c r="J73" s="29">
        <v>8.0</v>
      </c>
      <c r="K73" s="29">
        <v>9.0</v>
      </c>
      <c r="L73" s="29">
        <v>10.0</v>
      </c>
      <c r="M73" s="29">
        <v>11.0</v>
      </c>
      <c r="N73" s="29">
        <v>12.0</v>
      </c>
      <c r="O73" s="29">
        <v>13.0</v>
      </c>
      <c r="P73" s="29">
        <v>14.0</v>
      </c>
      <c r="Q73" s="29">
        <v>15.0</v>
      </c>
      <c r="R73" s="29">
        <v>16.0</v>
      </c>
      <c r="S73" s="29">
        <v>17.0</v>
      </c>
      <c r="T73" s="29">
        <v>18.0</v>
      </c>
      <c r="U73" s="30"/>
      <c r="V73" s="30"/>
      <c r="W73" s="30"/>
      <c r="X73" s="30"/>
      <c r="Y73" s="30"/>
      <c r="Z73" s="30"/>
      <c r="AA73" s="30"/>
    </row>
    <row r="74">
      <c r="A74" s="30" t="s">
        <v>30</v>
      </c>
      <c r="B74" s="30"/>
      <c r="C74" s="38"/>
      <c r="D74" s="67">
        <f t="shared" ref="D74:T74" si="19">(D15-C15)/C15</f>
        <v>0</v>
      </c>
      <c r="E74" s="67">
        <f t="shared" si="19"/>
        <v>0</v>
      </c>
      <c r="F74" s="67">
        <f t="shared" si="19"/>
        <v>0</v>
      </c>
      <c r="G74" s="67">
        <f t="shared" si="19"/>
        <v>0</v>
      </c>
      <c r="H74" s="67">
        <f t="shared" si="19"/>
        <v>0</v>
      </c>
      <c r="I74" s="67">
        <f t="shared" si="19"/>
        <v>0</v>
      </c>
      <c r="J74" s="67">
        <f t="shared" si="19"/>
        <v>0</v>
      </c>
      <c r="K74" s="67">
        <f t="shared" si="19"/>
        <v>0</v>
      </c>
      <c r="L74" s="67">
        <f t="shared" si="19"/>
        <v>0</v>
      </c>
      <c r="M74" s="67">
        <f t="shared" si="19"/>
        <v>0</v>
      </c>
      <c r="N74" s="67">
        <f t="shared" si="19"/>
        <v>0</v>
      </c>
      <c r="O74" s="67">
        <f t="shared" si="19"/>
        <v>0</v>
      </c>
      <c r="P74" s="67">
        <f t="shared" si="19"/>
        <v>0</v>
      </c>
      <c r="Q74" s="67">
        <f t="shared" si="19"/>
        <v>0</v>
      </c>
      <c r="R74" s="67">
        <f t="shared" si="19"/>
        <v>0</v>
      </c>
      <c r="S74" s="67">
        <f t="shared" si="19"/>
        <v>0</v>
      </c>
      <c r="T74" s="67">
        <f t="shared" si="19"/>
        <v>0</v>
      </c>
      <c r="U74" s="67"/>
      <c r="V74" s="30"/>
      <c r="W74" s="30"/>
      <c r="X74" s="30"/>
      <c r="Y74" s="30"/>
      <c r="Z74" s="30"/>
      <c r="AA74" s="30"/>
    </row>
    <row r="75">
      <c r="A75" s="30" t="s">
        <v>32</v>
      </c>
      <c r="B75" s="30"/>
      <c r="C75" s="38"/>
      <c r="D75" s="67">
        <f t="shared" ref="D75:T75" si="20">(D16-C16)/C16</f>
        <v>0</v>
      </c>
      <c r="E75" s="67">
        <f t="shared" si="20"/>
        <v>0</v>
      </c>
      <c r="F75" s="67">
        <f t="shared" si="20"/>
        <v>0</v>
      </c>
      <c r="G75" s="67">
        <f t="shared" si="20"/>
        <v>2</v>
      </c>
      <c r="H75" s="67">
        <f t="shared" si="20"/>
        <v>0</v>
      </c>
      <c r="I75" s="67">
        <f t="shared" si="20"/>
        <v>0</v>
      </c>
      <c r="J75" s="67">
        <f t="shared" si="20"/>
        <v>0</v>
      </c>
      <c r="K75" s="67">
        <f t="shared" si="20"/>
        <v>0</v>
      </c>
      <c r="L75" s="67">
        <f t="shared" si="20"/>
        <v>0</v>
      </c>
      <c r="M75" s="67">
        <f t="shared" si="20"/>
        <v>0</v>
      </c>
      <c r="N75" s="67">
        <f t="shared" si="20"/>
        <v>0.1</v>
      </c>
      <c r="O75" s="67">
        <f t="shared" si="20"/>
        <v>0</v>
      </c>
      <c r="P75" s="67">
        <f t="shared" si="20"/>
        <v>0</v>
      </c>
      <c r="Q75" s="67">
        <f t="shared" si="20"/>
        <v>0</v>
      </c>
      <c r="R75" s="67">
        <f t="shared" si="20"/>
        <v>0</v>
      </c>
      <c r="S75" s="67">
        <f t="shared" si="20"/>
        <v>0</v>
      </c>
      <c r="T75" s="67">
        <f t="shared" si="20"/>
        <v>0</v>
      </c>
      <c r="U75" s="67"/>
      <c r="V75" s="67"/>
      <c r="W75" s="30"/>
      <c r="X75" s="30"/>
      <c r="Y75" s="30"/>
      <c r="Z75" s="30"/>
      <c r="AA75" s="30"/>
    </row>
    <row r="76">
      <c r="A76" s="30" t="s">
        <v>33</v>
      </c>
      <c r="B76" s="30"/>
      <c r="C76" s="38"/>
      <c r="D76" s="67">
        <v>0.0</v>
      </c>
      <c r="E76" s="67">
        <v>0.0</v>
      </c>
      <c r="F76" s="67">
        <f t="shared" ref="F76:T76" si="21">(F17-E17)/E17</f>
        <v>0</v>
      </c>
      <c r="G76" s="67">
        <f t="shared" si="21"/>
        <v>0</v>
      </c>
      <c r="H76" s="67">
        <f t="shared" si="21"/>
        <v>0.05</v>
      </c>
      <c r="I76" s="67">
        <f t="shared" si="21"/>
        <v>0</v>
      </c>
      <c r="J76" s="67">
        <f t="shared" si="21"/>
        <v>0</v>
      </c>
      <c r="K76" s="67">
        <f t="shared" si="21"/>
        <v>0.05</v>
      </c>
      <c r="L76" s="67">
        <f t="shared" si="21"/>
        <v>0</v>
      </c>
      <c r="M76" s="67">
        <f t="shared" si="21"/>
        <v>0</v>
      </c>
      <c r="N76" s="67">
        <f t="shared" si="21"/>
        <v>0.04999546485</v>
      </c>
      <c r="O76" s="67">
        <f t="shared" si="21"/>
        <v>0</v>
      </c>
      <c r="P76" s="67">
        <f t="shared" si="21"/>
        <v>0</v>
      </c>
      <c r="Q76" s="67">
        <f t="shared" si="21"/>
        <v>0.04999913616</v>
      </c>
      <c r="R76" s="67">
        <f t="shared" si="21"/>
        <v>0</v>
      </c>
      <c r="S76" s="67">
        <f t="shared" si="21"/>
        <v>0</v>
      </c>
      <c r="T76" s="67">
        <f t="shared" si="21"/>
        <v>0</v>
      </c>
      <c r="U76" s="67"/>
      <c r="V76" s="67"/>
      <c r="W76" s="30"/>
      <c r="X76" s="30"/>
      <c r="Y76" s="30"/>
      <c r="Z76" s="30"/>
      <c r="AA76" s="30"/>
    </row>
    <row r="77">
      <c r="A77" s="30" t="s">
        <v>34</v>
      </c>
      <c r="B77" s="30"/>
      <c r="C77" s="38"/>
      <c r="D77" s="67">
        <v>0.0</v>
      </c>
      <c r="E77" s="67">
        <v>0.0</v>
      </c>
      <c r="F77" s="67">
        <f t="shared" ref="F77:T77" si="22">(F18-E18)/E18</f>
        <v>0</v>
      </c>
      <c r="G77" s="67">
        <f t="shared" si="22"/>
        <v>0</v>
      </c>
      <c r="H77" s="67">
        <f t="shared" si="22"/>
        <v>0.05</v>
      </c>
      <c r="I77" s="67">
        <f t="shared" si="22"/>
        <v>0</v>
      </c>
      <c r="J77" s="67">
        <f t="shared" si="22"/>
        <v>0</v>
      </c>
      <c r="K77" s="67">
        <f t="shared" si="22"/>
        <v>0.05</v>
      </c>
      <c r="L77" s="67">
        <f t="shared" si="22"/>
        <v>0</v>
      </c>
      <c r="M77" s="67">
        <f t="shared" si="22"/>
        <v>0</v>
      </c>
      <c r="N77" s="67">
        <f t="shared" si="22"/>
        <v>0.04999546485</v>
      </c>
      <c r="O77" s="67">
        <f t="shared" si="22"/>
        <v>0</v>
      </c>
      <c r="P77" s="67">
        <f t="shared" si="22"/>
        <v>0</v>
      </c>
      <c r="Q77" s="67">
        <f t="shared" si="22"/>
        <v>0.04999913616</v>
      </c>
      <c r="R77" s="67">
        <f t="shared" si="22"/>
        <v>0</v>
      </c>
      <c r="S77" s="67">
        <f t="shared" si="22"/>
        <v>0</v>
      </c>
      <c r="T77" s="67">
        <f t="shared" si="22"/>
        <v>0</v>
      </c>
      <c r="U77" s="67"/>
      <c r="V77" s="67"/>
      <c r="W77" s="30"/>
      <c r="X77" s="30"/>
      <c r="Y77" s="30"/>
      <c r="Z77" s="30"/>
      <c r="AA77" s="30"/>
    </row>
    <row r="78">
      <c r="A78" s="27" t="s">
        <v>36</v>
      </c>
      <c r="B78" s="30"/>
      <c r="C78" s="38"/>
      <c r="D78" s="67">
        <v>0.0</v>
      </c>
      <c r="E78" s="67">
        <f t="shared" ref="E78:T78" si="23">(E19-D19)/D19</f>
        <v>0</v>
      </c>
      <c r="F78" s="67">
        <f t="shared" si="23"/>
        <v>0</v>
      </c>
      <c r="G78" s="67">
        <f t="shared" si="23"/>
        <v>0</v>
      </c>
      <c r="H78" s="67">
        <f t="shared" si="23"/>
        <v>0</v>
      </c>
      <c r="I78" s="67">
        <f t="shared" si="23"/>
        <v>0</v>
      </c>
      <c r="J78" s="67">
        <f t="shared" si="23"/>
        <v>0</v>
      </c>
      <c r="K78" s="67">
        <f t="shared" si="23"/>
        <v>0.2</v>
      </c>
      <c r="L78" s="67">
        <f t="shared" si="23"/>
        <v>0</v>
      </c>
      <c r="M78" s="67">
        <f t="shared" si="23"/>
        <v>0</v>
      </c>
      <c r="N78" s="67">
        <f t="shared" si="23"/>
        <v>0</v>
      </c>
      <c r="O78" s="67">
        <f t="shared" si="23"/>
        <v>0</v>
      </c>
      <c r="P78" s="67">
        <f t="shared" si="23"/>
        <v>0</v>
      </c>
      <c r="Q78" s="67">
        <f t="shared" si="23"/>
        <v>0.2</v>
      </c>
      <c r="R78" s="67">
        <f t="shared" si="23"/>
        <v>0</v>
      </c>
      <c r="S78" s="67">
        <f t="shared" si="23"/>
        <v>0</v>
      </c>
      <c r="T78" s="67">
        <f t="shared" si="23"/>
        <v>0</v>
      </c>
      <c r="U78" s="67"/>
      <c r="V78" s="67"/>
      <c r="W78" s="30"/>
      <c r="X78" s="30"/>
      <c r="Y78" s="30"/>
      <c r="Z78" s="30"/>
      <c r="AA78" s="30"/>
    </row>
    <row r="79">
      <c r="A79" s="27" t="s">
        <v>38</v>
      </c>
      <c r="B79" s="30"/>
      <c r="C79" s="38"/>
      <c r="D79" s="67">
        <v>0.0</v>
      </c>
      <c r="E79" s="67">
        <f t="shared" ref="E79:T79" si="24">(E20-D20)/D20</f>
        <v>0</v>
      </c>
      <c r="F79" s="67">
        <f t="shared" si="24"/>
        <v>0</v>
      </c>
      <c r="G79" s="67">
        <f t="shared" si="24"/>
        <v>0</v>
      </c>
      <c r="H79" s="67">
        <f t="shared" si="24"/>
        <v>0</v>
      </c>
      <c r="I79" s="67">
        <f t="shared" si="24"/>
        <v>0</v>
      </c>
      <c r="J79" s="67">
        <f t="shared" si="24"/>
        <v>0</v>
      </c>
      <c r="K79" s="67">
        <f t="shared" si="24"/>
        <v>0.4</v>
      </c>
      <c r="L79" s="67">
        <f t="shared" si="24"/>
        <v>0</v>
      </c>
      <c r="M79" s="67">
        <f t="shared" si="24"/>
        <v>0</v>
      </c>
      <c r="N79" s="67">
        <f t="shared" si="24"/>
        <v>0</v>
      </c>
      <c r="O79" s="67">
        <f t="shared" si="24"/>
        <v>0</v>
      </c>
      <c r="P79" s="67">
        <f t="shared" si="24"/>
        <v>0</v>
      </c>
      <c r="Q79" s="67">
        <f t="shared" si="24"/>
        <v>0.2</v>
      </c>
      <c r="R79" s="67">
        <f t="shared" si="24"/>
        <v>0</v>
      </c>
      <c r="S79" s="67">
        <f t="shared" si="24"/>
        <v>0</v>
      </c>
      <c r="T79" s="67">
        <f t="shared" si="24"/>
        <v>0</v>
      </c>
      <c r="U79" s="67"/>
      <c r="V79" s="67"/>
      <c r="W79" s="30"/>
      <c r="X79" s="30"/>
      <c r="Y79" s="30"/>
      <c r="Z79" s="30"/>
      <c r="AA79" s="30"/>
    </row>
    <row r="80">
      <c r="A80" s="27" t="s">
        <v>82</v>
      </c>
      <c r="B80" s="30"/>
      <c r="C80" s="38"/>
      <c r="D80" s="67">
        <v>0.0</v>
      </c>
      <c r="E80" s="67">
        <v>0.0</v>
      </c>
      <c r="F80" s="67">
        <v>0.0</v>
      </c>
      <c r="G80" s="67">
        <f t="shared" ref="G80:T80" si="25">(G21-F21)/F21</f>
        <v>0</v>
      </c>
      <c r="H80" s="67">
        <f t="shared" si="25"/>
        <v>0</v>
      </c>
      <c r="I80" s="67">
        <f t="shared" si="25"/>
        <v>0</v>
      </c>
      <c r="J80" s="67">
        <f t="shared" si="25"/>
        <v>0</v>
      </c>
      <c r="K80" s="67">
        <f t="shared" si="25"/>
        <v>0</v>
      </c>
      <c r="L80" s="67">
        <f t="shared" si="25"/>
        <v>0.2</v>
      </c>
      <c r="M80" s="67">
        <f t="shared" si="25"/>
        <v>0</v>
      </c>
      <c r="N80" s="67">
        <f t="shared" si="25"/>
        <v>0</v>
      </c>
      <c r="O80" s="67">
        <f t="shared" si="25"/>
        <v>0</v>
      </c>
      <c r="P80" s="67">
        <f t="shared" si="25"/>
        <v>0</v>
      </c>
      <c r="Q80" s="67">
        <f t="shared" si="25"/>
        <v>0</v>
      </c>
      <c r="R80" s="67">
        <f t="shared" si="25"/>
        <v>0.2</v>
      </c>
      <c r="S80" s="67">
        <f t="shared" si="25"/>
        <v>0</v>
      </c>
      <c r="T80" s="67">
        <f t="shared" si="25"/>
        <v>0</v>
      </c>
      <c r="U80" s="67"/>
      <c r="V80" s="67"/>
      <c r="W80" s="30"/>
      <c r="X80" s="30"/>
      <c r="Y80" s="30"/>
      <c r="Z80" s="30"/>
      <c r="AA80" s="30"/>
    </row>
    <row r="81">
      <c r="A81" s="27" t="s">
        <v>41</v>
      </c>
      <c r="B81" s="30"/>
      <c r="C81" s="30"/>
      <c r="D81" s="67">
        <v>0.0</v>
      </c>
      <c r="E81" s="67">
        <f t="shared" ref="E81:T81" si="26">(E22-D22)/D22</f>
        <v>0</v>
      </c>
      <c r="F81" s="67">
        <f t="shared" si="26"/>
        <v>0</v>
      </c>
      <c r="G81" s="67">
        <f t="shared" si="26"/>
        <v>0.2</v>
      </c>
      <c r="H81" s="67">
        <f t="shared" si="26"/>
        <v>0</v>
      </c>
      <c r="I81" s="67">
        <f t="shared" si="26"/>
        <v>0</v>
      </c>
      <c r="J81" s="67">
        <f t="shared" si="26"/>
        <v>0.2</v>
      </c>
      <c r="K81" s="67">
        <f t="shared" si="26"/>
        <v>0</v>
      </c>
      <c r="L81" s="67">
        <f t="shared" si="26"/>
        <v>0</v>
      </c>
      <c r="M81" s="67">
        <f t="shared" si="26"/>
        <v>0.2</v>
      </c>
      <c r="N81" s="67">
        <f t="shared" si="26"/>
        <v>0</v>
      </c>
      <c r="O81" s="67">
        <f t="shared" si="26"/>
        <v>0</v>
      </c>
      <c r="P81" s="67">
        <f t="shared" si="26"/>
        <v>0.2</v>
      </c>
      <c r="Q81" s="67">
        <f t="shared" si="26"/>
        <v>0</v>
      </c>
      <c r="R81" s="67">
        <f t="shared" si="26"/>
        <v>0</v>
      </c>
      <c r="S81" s="67">
        <f t="shared" si="26"/>
        <v>0.2</v>
      </c>
      <c r="T81" s="67">
        <f t="shared" si="26"/>
        <v>0</v>
      </c>
      <c r="U81" s="30"/>
      <c r="V81" s="30"/>
      <c r="W81" s="30"/>
      <c r="X81" s="30"/>
      <c r="Y81" s="30"/>
      <c r="Z81" s="30"/>
      <c r="AA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30" t="s">
        <v>83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30" t="s">
        <v>84</v>
      </c>
      <c r="B88" s="30"/>
      <c r="C88" s="30" t="s">
        <v>85</v>
      </c>
      <c r="D88" s="30" t="s">
        <v>29</v>
      </c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>
      <c r="A89" s="30" t="s">
        <v>86</v>
      </c>
      <c r="B89" s="30"/>
      <c r="C89" s="38">
        <f>(259900+279900)/8</f>
        <v>67475</v>
      </c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30" t="s">
        <v>52</v>
      </c>
      <c r="B90" s="30"/>
      <c r="C90" s="42">
        <f>10000/8</f>
        <v>1250</v>
      </c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30" t="s">
        <v>53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30" t="s">
        <v>86</v>
      </c>
      <c r="B93" s="30"/>
      <c r="C93" s="27">
        <v>60.0</v>
      </c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30" t="s">
        <v>52</v>
      </c>
      <c r="B94" s="30"/>
      <c r="C94" s="27">
        <v>120.0</v>
      </c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30" t="s">
        <v>87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30" t="s">
        <v>88</v>
      </c>
      <c r="B99" s="30"/>
      <c r="C99" s="42" t="s">
        <v>89</v>
      </c>
      <c r="D99" s="70" t="s">
        <v>90</v>
      </c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30" t="s">
        <v>91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30" t="s">
        <v>92</v>
      </c>
      <c r="B103" s="30"/>
      <c r="C103" s="71">
        <v>91.71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72" t="s">
        <v>93</v>
      </c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</row>
    <row r="117">
      <c r="A117" s="27" t="s">
        <v>94</v>
      </c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74" t="s">
        <v>95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38"/>
    <col customWidth="1" min="2" max="2" width="9.38"/>
    <col customWidth="1" min="3" max="3" width="13.0"/>
    <col customWidth="1" min="4" max="4" width="13.13"/>
    <col customWidth="1" min="5" max="5" width="12.5"/>
    <col customWidth="1" min="6" max="17" width="9.38"/>
    <col customWidth="1" min="18" max="18" width="11.5"/>
    <col customWidth="1" min="19" max="19" width="9.38"/>
  </cols>
  <sheetData>
    <row r="1" ht="15.75" customHeight="1">
      <c r="A1" s="75"/>
      <c r="B1" s="76">
        <v>1.0</v>
      </c>
      <c r="C1" s="76">
        <f t="shared" ref="C1:S1" si="1">B1+1</f>
        <v>2</v>
      </c>
      <c r="D1" s="76">
        <f t="shared" si="1"/>
        <v>3</v>
      </c>
      <c r="E1" s="76">
        <f t="shared" si="1"/>
        <v>4</v>
      </c>
      <c r="F1" s="76">
        <f t="shared" si="1"/>
        <v>5</v>
      </c>
      <c r="G1" s="76">
        <f t="shared" si="1"/>
        <v>6</v>
      </c>
      <c r="H1" s="76">
        <f t="shared" si="1"/>
        <v>7</v>
      </c>
      <c r="I1" s="76">
        <f t="shared" si="1"/>
        <v>8</v>
      </c>
      <c r="J1" s="76">
        <f t="shared" si="1"/>
        <v>9</v>
      </c>
      <c r="K1" s="76">
        <f t="shared" si="1"/>
        <v>10</v>
      </c>
      <c r="L1" s="76">
        <f t="shared" si="1"/>
        <v>11</v>
      </c>
      <c r="M1" s="76">
        <f t="shared" si="1"/>
        <v>12</v>
      </c>
      <c r="N1" s="76">
        <f t="shared" si="1"/>
        <v>13</v>
      </c>
      <c r="O1" s="76">
        <f t="shared" si="1"/>
        <v>14</v>
      </c>
      <c r="P1" s="76">
        <f t="shared" si="1"/>
        <v>15</v>
      </c>
      <c r="Q1" s="76">
        <f t="shared" si="1"/>
        <v>16</v>
      </c>
      <c r="R1" s="76">
        <f t="shared" si="1"/>
        <v>17</v>
      </c>
      <c r="S1" s="76">
        <f t="shared" si="1"/>
        <v>18</v>
      </c>
      <c r="T1" s="77"/>
      <c r="U1" s="77"/>
      <c r="V1" s="77"/>
      <c r="W1" s="77"/>
      <c r="X1" s="77"/>
      <c r="Y1" s="77"/>
      <c r="Z1" s="77"/>
    </row>
    <row r="2" ht="15.75" customHeight="1">
      <c r="A2" s="78" t="s">
        <v>96</v>
      </c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ht="15.75" customHeight="1">
      <c r="A3" s="81"/>
      <c r="B3" s="82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15.75" customHeight="1">
      <c r="A4" s="83" t="s">
        <v>97</v>
      </c>
      <c r="T4" s="81"/>
      <c r="U4" s="81"/>
      <c r="V4" s="81"/>
      <c r="W4" s="81"/>
      <c r="X4" s="81"/>
      <c r="Y4" s="81"/>
      <c r="Z4" s="81"/>
    </row>
    <row r="5" ht="15.75" customHeight="1">
      <c r="A5" s="84" t="s">
        <v>98</v>
      </c>
      <c r="B5" s="85">
        <v>0.0</v>
      </c>
      <c r="C5" s="85">
        <v>0.0</v>
      </c>
      <c r="D5" s="85">
        <v>0.0</v>
      </c>
      <c r="E5" s="85">
        <v>100000.0</v>
      </c>
      <c r="F5" s="85">
        <v>100000.0</v>
      </c>
      <c r="G5" s="85">
        <v>100000.0</v>
      </c>
      <c r="H5" s="85">
        <v>100000.0</v>
      </c>
      <c r="I5" s="85">
        <v>100000.0</v>
      </c>
      <c r="J5" s="85">
        <v>100000.0</v>
      </c>
      <c r="K5" s="85">
        <v>100000.0</v>
      </c>
      <c r="L5" s="85">
        <v>100000.0</v>
      </c>
      <c r="M5" s="85">
        <v>100000.0</v>
      </c>
      <c r="N5" s="85">
        <v>100000.0</v>
      </c>
      <c r="O5" s="85">
        <v>100000.0</v>
      </c>
      <c r="P5" s="85">
        <v>100000.0</v>
      </c>
      <c r="Q5" s="85">
        <v>100000.0</v>
      </c>
      <c r="R5" s="85">
        <v>100000.0</v>
      </c>
      <c r="S5" s="85">
        <v>100000.0</v>
      </c>
      <c r="T5" s="81"/>
      <c r="U5" s="74" t="s">
        <v>99</v>
      </c>
      <c r="V5" s="74"/>
      <c r="W5" s="81"/>
      <c r="X5" s="81"/>
      <c r="Y5" s="81"/>
      <c r="Z5" s="81"/>
    </row>
    <row r="6" ht="15.75" customHeight="1">
      <c r="A6" s="84" t="s">
        <v>100</v>
      </c>
      <c r="B6" s="85">
        <v>0.0</v>
      </c>
      <c r="C6" s="85">
        <v>0.0</v>
      </c>
      <c r="D6" s="85">
        <v>0.0</v>
      </c>
      <c r="E6" s="85">
        <v>50000.0</v>
      </c>
      <c r="F6" s="85">
        <v>50000.0</v>
      </c>
      <c r="G6" s="85">
        <v>50000.0</v>
      </c>
      <c r="H6" s="85">
        <v>100000.0</v>
      </c>
      <c r="I6" s="85">
        <v>100000.0</v>
      </c>
      <c r="J6" s="85">
        <v>100000.0</v>
      </c>
      <c r="K6" s="85">
        <v>200000.0</v>
      </c>
      <c r="L6" s="85">
        <v>200000.0</v>
      </c>
      <c r="M6" s="85">
        <v>200000.0</v>
      </c>
      <c r="N6" s="85">
        <v>200000.0</v>
      </c>
      <c r="O6" s="85">
        <v>200000.0</v>
      </c>
      <c r="P6" s="85">
        <v>200000.0</v>
      </c>
      <c r="Q6" s="85">
        <v>400000.0</v>
      </c>
      <c r="R6" s="85">
        <v>400000.0</v>
      </c>
      <c r="S6" s="85">
        <v>400000.0</v>
      </c>
      <c r="T6" s="81"/>
      <c r="U6" s="74" t="s">
        <v>101</v>
      </c>
      <c r="V6" s="81"/>
      <c r="W6" s="81"/>
      <c r="X6" s="81"/>
      <c r="Y6" s="81"/>
      <c r="Z6" s="81"/>
    </row>
    <row r="7" ht="15.75" customHeight="1">
      <c r="A7" s="84" t="s">
        <v>102</v>
      </c>
      <c r="B7" s="85">
        <v>0.0</v>
      </c>
      <c r="C7" s="85">
        <v>0.0</v>
      </c>
      <c r="D7" s="85">
        <v>0.0</v>
      </c>
      <c r="E7" s="85">
        <v>100000.0</v>
      </c>
      <c r="F7" s="85">
        <v>100000.0</v>
      </c>
      <c r="G7" s="85">
        <v>100000.0</v>
      </c>
      <c r="H7" s="85">
        <v>200000.0</v>
      </c>
      <c r="I7" s="85">
        <v>200000.0</v>
      </c>
      <c r="J7" s="85">
        <v>200000.0</v>
      </c>
      <c r="K7" s="85">
        <v>300000.0</v>
      </c>
      <c r="L7" s="85">
        <v>300000.0</v>
      </c>
      <c r="M7" s="85">
        <v>300000.0</v>
      </c>
      <c r="N7" s="85">
        <v>450000.0</v>
      </c>
      <c r="O7" s="85">
        <v>450000.0</v>
      </c>
      <c r="P7" s="85">
        <v>450000.0</v>
      </c>
      <c r="Q7" s="85">
        <v>675000.0</v>
      </c>
      <c r="R7" s="85">
        <v>675000.0</v>
      </c>
      <c r="S7" s="85">
        <v>675000.0</v>
      </c>
      <c r="T7" s="81"/>
      <c r="U7" s="74" t="s">
        <v>103</v>
      </c>
      <c r="V7" s="74"/>
      <c r="W7" s="81"/>
      <c r="X7" s="81"/>
      <c r="Y7" s="81"/>
      <c r="Z7" s="81"/>
    </row>
    <row r="8" ht="15.75" customHeight="1">
      <c r="A8" s="86" t="s">
        <v>104</v>
      </c>
      <c r="B8" s="85">
        <v>0.0</v>
      </c>
      <c r="C8" s="85">
        <v>0.0</v>
      </c>
      <c r="D8" s="85">
        <v>0.0</v>
      </c>
      <c r="E8" s="74">
        <v>30000.0</v>
      </c>
      <c r="F8" s="74">
        <v>30000.0</v>
      </c>
      <c r="G8" s="74">
        <v>30000.0</v>
      </c>
      <c r="H8" s="74">
        <v>60000.0</v>
      </c>
      <c r="I8" s="74">
        <v>60000.0</v>
      </c>
      <c r="J8" s="74">
        <v>60000.0</v>
      </c>
      <c r="K8" s="74">
        <v>90000.0</v>
      </c>
      <c r="L8" s="74">
        <v>90000.0</v>
      </c>
      <c r="M8" s="74">
        <v>90000.0</v>
      </c>
      <c r="N8" s="74">
        <v>135000.0</v>
      </c>
      <c r="O8" s="74">
        <v>135000.0</v>
      </c>
      <c r="P8" s="74">
        <v>135000.0</v>
      </c>
      <c r="Q8" s="81">
        <f t="shared" ref="Q8:S8" si="2">135000*1.5</f>
        <v>202500</v>
      </c>
      <c r="R8" s="81">
        <f t="shared" si="2"/>
        <v>202500</v>
      </c>
      <c r="S8" s="81">
        <f t="shared" si="2"/>
        <v>202500</v>
      </c>
      <c r="T8" s="81"/>
      <c r="U8" s="74" t="s">
        <v>103</v>
      </c>
      <c r="V8" s="74"/>
      <c r="W8" s="81"/>
      <c r="X8" s="81"/>
      <c r="Y8" s="81"/>
      <c r="Z8" s="81"/>
    </row>
    <row r="9" ht="15.75" customHeight="1">
      <c r="A9" s="86"/>
      <c r="B9" s="81"/>
      <c r="C9" s="81"/>
      <c r="D9" s="74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5.75" customHeight="1">
      <c r="A10" s="87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15.75" customHeight="1">
      <c r="A11" s="88" t="s">
        <v>105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5.75" customHeight="1">
      <c r="A12" s="84" t="s">
        <v>98</v>
      </c>
      <c r="B12" s="89">
        <f t="shared" ref="B12:D12" si="3">IFERROR(B5/#REF!,0)</f>
        <v>0</v>
      </c>
      <c r="C12" s="89">
        <f t="shared" si="3"/>
        <v>0</v>
      </c>
      <c r="D12" s="89">
        <f t="shared" si="3"/>
        <v>0</v>
      </c>
      <c r="E12" s="85">
        <v>250.0</v>
      </c>
      <c r="F12" s="85">
        <v>250.0</v>
      </c>
      <c r="G12" s="85">
        <v>250.0</v>
      </c>
      <c r="H12" s="85">
        <v>250.0</v>
      </c>
      <c r="I12" s="85">
        <v>250.0</v>
      </c>
      <c r="J12" s="85">
        <v>250.0</v>
      </c>
      <c r="K12" s="85">
        <v>250.0</v>
      </c>
      <c r="L12" s="85">
        <v>250.0</v>
      </c>
      <c r="M12" s="85">
        <v>250.0</v>
      </c>
      <c r="N12" s="85">
        <v>250.0</v>
      </c>
      <c r="O12" s="85">
        <v>250.0</v>
      </c>
      <c r="P12" s="85">
        <v>250.0</v>
      </c>
      <c r="Q12" s="85">
        <v>250.0</v>
      </c>
      <c r="R12" s="85">
        <v>250.0</v>
      </c>
      <c r="S12" s="85">
        <v>250.0</v>
      </c>
      <c r="T12" s="81"/>
      <c r="U12" s="81"/>
      <c r="V12" s="81"/>
      <c r="W12" s="81"/>
      <c r="X12" s="81"/>
      <c r="Y12" s="81"/>
      <c r="Z12" s="81"/>
    </row>
    <row r="13" ht="15.75" customHeight="1">
      <c r="A13" s="84" t="s">
        <v>100</v>
      </c>
      <c r="B13" s="85">
        <v>0.0</v>
      </c>
      <c r="C13" s="85">
        <v>0.0</v>
      </c>
      <c r="D13" s="85">
        <v>0.0</v>
      </c>
      <c r="E13" s="85">
        <v>150.0</v>
      </c>
      <c r="F13" s="85">
        <v>150.0</v>
      </c>
      <c r="G13" s="85">
        <v>150.0</v>
      </c>
      <c r="H13" s="85">
        <v>300.0</v>
      </c>
      <c r="I13" s="85">
        <v>300.0</v>
      </c>
      <c r="J13" s="85">
        <v>300.0</v>
      </c>
      <c r="K13" s="85">
        <v>600.0</v>
      </c>
      <c r="L13" s="85">
        <v>600.0</v>
      </c>
      <c r="M13" s="85">
        <v>600.0</v>
      </c>
      <c r="N13" s="85">
        <v>600.0</v>
      </c>
      <c r="O13" s="85">
        <v>600.0</v>
      </c>
      <c r="P13" s="85">
        <v>600.0</v>
      </c>
      <c r="Q13" s="85">
        <v>1200.0</v>
      </c>
      <c r="R13" s="85">
        <v>1200.0</v>
      </c>
      <c r="S13" s="85">
        <v>1200.0</v>
      </c>
      <c r="T13" s="81"/>
      <c r="U13" s="81"/>
      <c r="V13" s="81"/>
      <c r="W13" s="81"/>
      <c r="X13" s="81"/>
      <c r="Y13" s="81"/>
      <c r="Z13" s="81"/>
    </row>
    <row r="14" ht="15.75" customHeight="1">
      <c r="A14" s="84" t="s">
        <v>106</v>
      </c>
      <c r="B14" s="81"/>
      <c r="C14" s="81"/>
      <c r="D14" s="81"/>
      <c r="E14" s="74">
        <f t="shared" ref="E14:S14" si="4">0.02*E7</f>
        <v>2000</v>
      </c>
      <c r="F14" s="74">
        <f t="shared" si="4"/>
        <v>2000</v>
      </c>
      <c r="G14" s="74">
        <f t="shared" si="4"/>
        <v>2000</v>
      </c>
      <c r="H14" s="74">
        <f t="shared" si="4"/>
        <v>4000</v>
      </c>
      <c r="I14" s="74">
        <f t="shared" si="4"/>
        <v>4000</v>
      </c>
      <c r="J14" s="74">
        <f t="shared" si="4"/>
        <v>4000</v>
      </c>
      <c r="K14" s="74">
        <f t="shared" si="4"/>
        <v>6000</v>
      </c>
      <c r="L14" s="74">
        <f t="shared" si="4"/>
        <v>6000</v>
      </c>
      <c r="M14" s="74">
        <f t="shared" si="4"/>
        <v>6000</v>
      </c>
      <c r="N14" s="74">
        <f t="shared" si="4"/>
        <v>9000</v>
      </c>
      <c r="O14" s="74">
        <f t="shared" si="4"/>
        <v>9000</v>
      </c>
      <c r="P14" s="74">
        <f t="shared" si="4"/>
        <v>9000</v>
      </c>
      <c r="Q14" s="74">
        <f t="shared" si="4"/>
        <v>13500</v>
      </c>
      <c r="R14" s="74">
        <f t="shared" si="4"/>
        <v>13500</v>
      </c>
      <c r="S14" s="74">
        <f t="shared" si="4"/>
        <v>13500</v>
      </c>
      <c r="T14" s="81"/>
      <c r="U14" s="81"/>
      <c r="V14" s="81"/>
      <c r="W14" s="81"/>
      <c r="X14" s="81"/>
      <c r="Y14" s="81"/>
      <c r="Z14" s="81"/>
    </row>
    <row r="15" ht="15.75" customHeight="1">
      <c r="A15" s="86" t="s">
        <v>104</v>
      </c>
      <c r="B15" s="90"/>
      <c r="C15" s="90"/>
      <c r="D15" s="90"/>
      <c r="E15" s="74">
        <f t="shared" ref="E15:S15" si="5">0.02*E8</f>
        <v>600</v>
      </c>
      <c r="F15" s="74">
        <f t="shared" si="5"/>
        <v>600</v>
      </c>
      <c r="G15" s="74">
        <f t="shared" si="5"/>
        <v>600</v>
      </c>
      <c r="H15" s="74">
        <f t="shared" si="5"/>
        <v>1200</v>
      </c>
      <c r="I15" s="74">
        <f t="shared" si="5"/>
        <v>1200</v>
      </c>
      <c r="J15" s="74">
        <f t="shared" si="5"/>
        <v>1200</v>
      </c>
      <c r="K15" s="74">
        <f t="shared" si="5"/>
        <v>1800</v>
      </c>
      <c r="L15" s="74">
        <f t="shared" si="5"/>
        <v>1800</v>
      </c>
      <c r="M15" s="74">
        <f t="shared" si="5"/>
        <v>1800</v>
      </c>
      <c r="N15" s="74">
        <f t="shared" si="5"/>
        <v>2700</v>
      </c>
      <c r="O15" s="74">
        <f t="shared" si="5"/>
        <v>2700</v>
      </c>
      <c r="P15" s="74">
        <f t="shared" si="5"/>
        <v>2700</v>
      </c>
      <c r="Q15" s="74">
        <f t="shared" si="5"/>
        <v>4050</v>
      </c>
      <c r="R15" s="74">
        <f t="shared" si="5"/>
        <v>4050</v>
      </c>
      <c r="S15" s="74">
        <f t="shared" si="5"/>
        <v>4050</v>
      </c>
      <c r="T15" s="81"/>
      <c r="U15" s="81"/>
      <c r="V15" s="81"/>
      <c r="W15" s="81"/>
      <c r="X15" s="81"/>
      <c r="Y15" s="81"/>
      <c r="Z15" s="81"/>
    </row>
    <row r="16" ht="15.75" customHeight="1">
      <c r="A16" s="86"/>
      <c r="B16" s="90"/>
      <c r="C16" s="90"/>
      <c r="D16" s="90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81"/>
      <c r="U16" s="81"/>
      <c r="V16" s="81"/>
      <c r="W16" s="81"/>
      <c r="X16" s="81"/>
      <c r="Y16" s="81"/>
      <c r="Z16" s="81"/>
    </row>
    <row r="17" ht="15.75" customHeight="1">
      <c r="A17" s="88" t="s">
        <v>107</v>
      </c>
      <c r="B17" s="90"/>
      <c r="C17" s="90"/>
      <c r="D17" s="90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81"/>
      <c r="U17" s="81"/>
      <c r="V17" s="81"/>
      <c r="W17" s="81"/>
      <c r="X17" s="81"/>
      <c r="Y17" s="81"/>
      <c r="Z17" s="81"/>
    </row>
    <row r="18" ht="15.75" customHeight="1">
      <c r="A18" s="84" t="s">
        <v>98</v>
      </c>
      <c r="B18" s="90"/>
      <c r="C18" s="90"/>
      <c r="D18" s="90"/>
      <c r="E18" s="74">
        <v>20.0</v>
      </c>
      <c r="F18" s="74">
        <v>20.0</v>
      </c>
      <c r="G18" s="74">
        <v>20.0</v>
      </c>
      <c r="H18" s="74">
        <v>20.0</v>
      </c>
      <c r="I18" s="74">
        <v>20.0</v>
      </c>
      <c r="J18" s="74">
        <v>20.0</v>
      </c>
      <c r="K18" s="74">
        <v>20.0</v>
      </c>
      <c r="L18" s="74">
        <v>20.0</v>
      </c>
      <c r="M18" s="74">
        <v>20.0</v>
      </c>
      <c r="N18" s="74">
        <v>20.0</v>
      </c>
      <c r="O18" s="74">
        <v>20.0</v>
      </c>
      <c r="P18" s="74">
        <v>20.0</v>
      </c>
      <c r="Q18" s="74">
        <v>20.0</v>
      </c>
      <c r="R18" s="74">
        <v>20.0</v>
      </c>
      <c r="S18" s="74">
        <v>20.0</v>
      </c>
      <c r="T18" s="81"/>
      <c r="U18" s="81"/>
      <c r="V18" s="81"/>
      <c r="W18" s="81"/>
      <c r="X18" s="81"/>
      <c r="Y18" s="81"/>
      <c r="Z18" s="81"/>
    </row>
    <row r="19" ht="15.75" customHeight="1">
      <c r="A19" s="84" t="s">
        <v>100</v>
      </c>
      <c r="B19" s="90"/>
      <c r="C19" s="90"/>
      <c r="D19" s="90"/>
      <c r="E19" s="74">
        <f t="shared" ref="E19:S19" si="6">Round(E13*0.05,0)</f>
        <v>8</v>
      </c>
      <c r="F19" s="74">
        <f t="shared" si="6"/>
        <v>8</v>
      </c>
      <c r="G19" s="74">
        <f t="shared" si="6"/>
        <v>8</v>
      </c>
      <c r="H19" s="74">
        <f t="shared" si="6"/>
        <v>15</v>
      </c>
      <c r="I19" s="74">
        <f t="shared" si="6"/>
        <v>15</v>
      </c>
      <c r="J19" s="74">
        <f t="shared" si="6"/>
        <v>15</v>
      </c>
      <c r="K19" s="74">
        <f t="shared" si="6"/>
        <v>30</v>
      </c>
      <c r="L19" s="74">
        <f t="shared" si="6"/>
        <v>30</v>
      </c>
      <c r="M19" s="74">
        <f t="shared" si="6"/>
        <v>30</v>
      </c>
      <c r="N19" s="74">
        <f t="shared" si="6"/>
        <v>30</v>
      </c>
      <c r="O19" s="74">
        <f t="shared" si="6"/>
        <v>30</v>
      </c>
      <c r="P19" s="74">
        <f t="shared" si="6"/>
        <v>30</v>
      </c>
      <c r="Q19" s="74">
        <f t="shared" si="6"/>
        <v>60</v>
      </c>
      <c r="R19" s="74">
        <f t="shared" si="6"/>
        <v>60</v>
      </c>
      <c r="S19" s="74">
        <f t="shared" si="6"/>
        <v>60</v>
      </c>
      <c r="T19" s="81"/>
      <c r="U19" s="81"/>
      <c r="V19" s="81"/>
      <c r="W19" s="81"/>
      <c r="X19" s="81"/>
      <c r="Y19" s="81"/>
      <c r="Z19" s="81"/>
    </row>
    <row r="20" ht="15.75" customHeight="1">
      <c r="A20" s="84" t="s">
        <v>106</v>
      </c>
      <c r="B20" s="90"/>
      <c r="C20" s="90"/>
      <c r="D20" s="90"/>
      <c r="E20" s="74">
        <f t="shared" ref="E20:S20" si="7">E14*0.02</f>
        <v>40</v>
      </c>
      <c r="F20" s="74">
        <f t="shared" si="7"/>
        <v>40</v>
      </c>
      <c r="G20" s="74">
        <f t="shared" si="7"/>
        <v>40</v>
      </c>
      <c r="H20" s="74">
        <f t="shared" si="7"/>
        <v>80</v>
      </c>
      <c r="I20" s="74">
        <f t="shared" si="7"/>
        <v>80</v>
      </c>
      <c r="J20" s="74">
        <f t="shared" si="7"/>
        <v>80</v>
      </c>
      <c r="K20" s="74">
        <f t="shared" si="7"/>
        <v>120</v>
      </c>
      <c r="L20" s="74">
        <f t="shared" si="7"/>
        <v>120</v>
      </c>
      <c r="M20" s="74">
        <f t="shared" si="7"/>
        <v>120</v>
      </c>
      <c r="N20" s="74">
        <f t="shared" si="7"/>
        <v>180</v>
      </c>
      <c r="O20" s="74">
        <f t="shared" si="7"/>
        <v>180</v>
      </c>
      <c r="P20" s="74">
        <f t="shared" si="7"/>
        <v>180</v>
      </c>
      <c r="Q20" s="74">
        <f t="shared" si="7"/>
        <v>270</v>
      </c>
      <c r="R20" s="74">
        <f t="shared" si="7"/>
        <v>270</v>
      </c>
      <c r="S20" s="74">
        <f t="shared" si="7"/>
        <v>270</v>
      </c>
      <c r="T20" s="81"/>
      <c r="U20" s="81"/>
      <c r="V20" s="81"/>
      <c r="W20" s="81"/>
      <c r="X20" s="81"/>
      <c r="Y20" s="81"/>
      <c r="Z20" s="81"/>
    </row>
    <row r="21" ht="15.75" customHeight="1">
      <c r="A21" s="86" t="s">
        <v>104</v>
      </c>
      <c r="B21" s="90"/>
      <c r="C21" s="90"/>
      <c r="D21" s="90"/>
      <c r="E21" s="74">
        <f t="shared" ref="E21:P21" si="8">E15*0.01</f>
        <v>6</v>
      </c>
      <c r="F21" s="74">
        <f t="shared" si="8"/>
        <v>6</v>
      </c>
      <c r="G21" s="74">
        <f t="shared" si="8"/>
        <v>6</v>
      </c>
      <c r="H21" s="74">
        <f t="shared" si="8"/>
        <v>12</v>
      </c>
      <c r="I21" s="74">
        <f t="shared" si="8"/>
        <v>12</v>
      </c>
      <c r="J21" s="74">
        <f t="shared" si="8"/>
        <v>12</v>
      </c>
      <c r="K21" s="74">
        <f t="shared" si="8"/>
        <v>18</v>
      </c>
      <c r="L21" s="74">
        <f t="shared" si="8"/>
        <v>18</v>
      </c>
      <c r="M21" s="74">
        <f t="shared" si="8"/>
        <v>18</v>
      </c>
      <c r="N21" s="74">
        <f t="shared" si="8"/>
        <v>27</v>
      </c>
      <c r="O21" s="74">
        <f t="shared" si="8"/>
        <v>27</v>
      </c>
      <c r="P21" s="74">
        <f t="shared" si="8"/>
        <v>27</v>
      </c>
      <c r="Q21" s="74">
        <f t="shared" ref="Q21:T21" si="9">round(Q15*0.01,0)</f>
        <v>41</v>
      </c>
      <c r="R21" s="74">
        <f t="shared" si="9"/>
        <v>41</v>
      </c>
      <c r="S21" s="74">
        <f t="shared" si="9"/>
        <v>41</v>
      </c>
      <c r="T21" s="74">
        <f t="shared" si="9"/>
        <v>0</v>
      </c>
      <c r="U21" s="81"/>
      <c r="V21" s="81"/>
      <c r="W21" s="81"/>
      <c r="X21" s="81"/>
      <c r="Y21" s="81"/>
      <c r="Z21" s="81"/>
    </row>
    <row r="22" ht="15.75" customHeight="1">
      <c r="A22" s="86"/>
      <c r="B22" s="90"/>
      <c r="C22" s="90"/>
      <c r="D22" s="90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81"/>
      <c r="U22" s="81"/>
      <c r="V22" s="81"/>
      <c r="W22" s="81"/>
      <c r="X22" s="81"/>
      <c r="Y22" s="81"/>
      <c r="Z22" s="81"/>
    </row>
    <row r="23" ht="15.75" customHeight="1">
      <c r="A23" s="83" t="s">
        <v>108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81"/>
      <c r="U23" s="81"/>
      <c r="V23" s="81"/>
      <c r="W23" s="81"/>
      <c r="X23" s="81"/>
      <c r="Y23" s="81"/>
      <c r="Z23" s="81"/>
    </row>
    <row r="24" ht="15.75" customHeight="1">
      <c r="A24" s="88" t="s">
        <v>109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81"/>
      <c r="U24" s="81"/>
      <c r="V24" s="81"/>
      <c r="W24" s="81"/>
      <c r="X24" s="81"/>
      <c r="Y24" s="81"/>
      <c r="Z24" s="81"/>
    </row>
    <row r="25" ht="15.75" customHeight="1">
      <c r="A25" s="27" t="s">
        <v>110</v>
      </c>
      <c r="B25" s="89">
        <f t="shared" ref="B25:D25" si="10">IFERROR(B6/#REF!,0)</f>
        <v>0</v>
      </c>
      <c r="C25" s="89">
        <f t="shared" si="10"/>
        <v>0</v>
      </c>
      <c r="D25" s="89">
        <f t="shared" si="10"/>
        <v>0</v>
      </c>
      <c r="E25" s="85">
        <v>50000.0</v>
      </c>
      <c r="F25" s="85">
        <v>50000.0</v>
      </c>
      <c r="G25" s="85">
        <v>50000.0</v>
      </c>
      <c r="H25" s="85">
        <v>100000.0</v>
      </c>
      <c r="I25" s="85">
        <v>100000.0</v>
      </c>
      <c r="J25" s="85">
        <v>100000.0</v>
      </c>
      <c r="K25" s="85">
        <v>200000.0</v>
      </c>
      <c r="L25" s="85">
        <v>200000.0</v>
      </c>
      <c r="M25" s="85">
        <v>200000.0</v>
      </c>
      <c r="N25" s="85">
        <v>200000.0</v>
      </c>
      <c r="O25" s="85">
        <v>200000.0</v>
      </c>
      <c r="P25" s="85">
        <v>200000.0</v>
      </c>
      <c r="Q25" s="85">
        <v>400000.0</v>
      </c>
      <c r="R25" s="85">
        <v>400000.0</v>
      </c>
      <c r="S25" s="85">
        <v>400000.0</v>
      </c>
      <c r="T25" s="81"/>
      <c r="U25" s="81"/>
      <c r="V25" s="81"/>
      <c r="W25" s="81"/>
      <c r="X25" s="81"/>
      <c r="Y25" s="81"/>
      <c r="Z25" s="81"/>
    </row>
    <row r="26" ht="15.75" customHeight="1">
      <c r="A26" s="87" t="s">
        <v>111</v>
      </c>
      <c r="B26" s="85">
        <v>0.0</v>
      </c>
      <c r="C26" s="85">
        <v>0.0</v>
      </c>
      <c r="D26" s="85">
        <v>0.0</v>
      </c>
      <c r="E26" s="27">
        <f t="shared" ref="E26:S26" si="11">E25*0.015</f>
        <v>750</v>
      </c>
      <c r="F26" s="27">
        <f t="shared" si="11"/>
        <v>750</v>
      </c>
      <c r="G26" s="27">
        <f t="shared" si="11"/>
        <v>750</v>
      </c>
      <c r="H26" s="27">
        <f t="shared" si="11"/>
        <v>1500</v>
      </c>
      <c r="I26" s="27">
        <f t="shared" si="11"/>
        <v>1500</v>
      </c>
      <c r="J26" s="27">
        <f t="shared" si="11"/>
        <v>1500</v>
      </c>
      <c r="K26" s="27">
        <f t="shared" si="11"/>
        <v>3000</v>
      </c>
      <c r="L26" s="27">
        <f t="shared" si="11"/>
        <v>3000</v>
      </c>
      <c r="M26" s="27">
        <f t="shared" si="11"/>
        <v>3000</v>
      </c>
      <c r="N26" s="27">
        <f t="shared" si="11"/>
        <v>3000</v>
      </c>
      <c r="O26" s="27">
        <f t="shared" si="11"/>
        <v>3000</v>
      </c>
      <c r="P26" s="27">
        <f t="shared" si="11"/>
        <v>3000</v>
      </c>
      <c r="Q26" s="27">
        <f t="shared" si="11"/>
        <v>6000</v>
      </c>
      <c r="R26" s="27">
        <f t="shared" si="11"/>
        <v>6000</v>
      </c>
      <c r="S26" s="27">
        <f t="shared" si="11"/>
        <v>6000</v>
      </c>
      <c r="T26" s="81"/>
      <c r="U26" s="81"/>
      <c r="V26" s="81"/>
      <c r="W26" s="81"/>
      <c r="X26" s="81"/>
      <c r="Y26" s="81"/>
      <c r="Z26" s="81"/>
    </row>
    <row r="27" ht="15.75" customHeight="1">
      <c r="A27" s="84" t="s">
        <v>112</v>
      </c>
      <c r="B27" s="85">
        <v>0.0</v>
      </c>
      <c r="C27" s="85">
        <v>0.0</v>
      </c>
      <c r="D27" s="85">
        <v>0.0</v>
      </c>
      <c r="E27" s="85">
        <f t="shared" ref="E27:S27" si="12">E26*0.2</f>
        <v>150</v>
      </c>
      <c r="F27" s="85">
        <f t="shared" si="12"/>
        <v>150</v>
      </c>
      <c r="G27" s="85">
        <f t="shared" si="12"/>
        <v>150</v>
      </c>
      <c r="H27" s="85">
        <f t="shared" si="12"/>
        <v>300</v>
      </c>
      <c r="I27" s="85">
        <f t="shared" si="12"/>
        <v>300</v>
      </c>
      <c r="J27" s="85">
        <f t="shared" si="12"/>
        <v>300</v>
      </c>
      <c r="K27" s="85">
        <f t="shared" si="12"/>
        <v>600</v>
      </c>
      <c r="L27" s="85">
        <f t="shared" si="12"/>
        <v>600</v>
      </c>
      <c r="M27" s="85">
        <f t="shared" si="12"/>
        <v>600</v>
      </c>
      <c r="N27" s="85">
        <f t="shared" si="12"/>
        <v>600</v>
      </c>
      <c r="O27" s="85">
        <f t="shared" si="12"/>
        <v>600</v>
      </c>
      <c r="P27" s="85">
        <f t="shared" si="12"/>
        <v>600</v>
      </c>
      <c r="Q27" s="85">
        <f t="shared" si="12"/>
        <v>1200</v>
      </c>
      <c r="R27" s="85">
        <f t="shared" si="12"/>
        <v>1200</v>
      </c>
      <c r="S27" s="85">
        <f t="shared" si="12"/>
        <v>1200</v>
      </c>
      <c r="T27" s="81"/>
      <c r="U27" s="81"/>
      <c r="V27" s="81"/>
      <c r="W27" s="81"/>
      <c r="X27" s="81"/>
      <c r="Y27" s="81"/>
      <c r="Z27" s="81"/>
    </row>
    <row r="28" ht="15.75" customHeight="1">
      <c r="A28" s="88" t="s">
        <v>113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1"/>
      <c r="U28" s="81"/>
      <c r="V28" s="81"/>
      <c r="W28" s="81"/>
      <c r="X28" s="81"/>
      <c r="Y28" s="81"/>
      <c r="Z28" s="81"/>
    </row>
    <row r="29" ht="15.75" customHeight="1">
      <c r="A29" s="27" t="s">
        <v>110</v>
      </c>
      <c r="B29" s="85">
        <v>0.0</v>
      </c>
      <c r="C29" s="85">
        <v>0.0</v>
      </c>
      <c r="D29" s="85">
        <v>0.0</v>
      </c>
      <c r="E29" s="85">
        <f t="shared" ref="E29:S29" si="13">E7
</f>
        <v>100000</v>
      </c>
      <c r="F29" s="85">
        <f t="shared" si="13"/>
        <v>100000</v>
      </c>
      <c r="G29" s="85">
        <f t="shared" si="13"/>
        <v>100000</v>
      </c>
      <c r="H29" s="85">
        <f t="shared" si="13"/>
        <v>200000</v>
      </c>
      <c r="I29" s="85">
        <f t="shared" si="13"/>
        <v>200000</v>
      </c>
      <c r="J29" s="85">
        <f t="shared" si="13"/>
        <v>200000</v>
      </c>
      <c r="K29" s="85">
        <f t="shared" si="13"/>
        <v>300000</v>
      </c>
      <c r="L29" s="85">
        <f t="shared" si="13"/>
        <v>300000</v>
      </c>
      <c r="M29" s="85">
        <f t="shared" si="13"/>
        <v>300000</v>
      </c>
      <c r="N29" s="85">
        <f t="shared" si="13"/>
        <v>450000</v>
      </c>
      <c r="O29" s="85">
        <f t="shared" si="13"/>
        <v>450000</v>
      </c>
      <c r="P29" s="85">
        <f t="shared" si="13"/>
        <v>450000</v>
      </c>
      <c r="Q29" s="85">
        <f t="shared" si="13"/>
        <v>675000</v>
      </c>
      <c r="R29" s="85">
        <f t="shared" si="13"/>
        <v>675000</v>
      </c>
      <c r="S29" s="85">
        <f t="shared" si="13"/>
        <v>675000</v>
      </c>
      <c r="T29" s="81"/>
      <c r="U29" s="81"/>
      <c r="V29" s="81"/>
      <c r="W29" s="81"/>
      <c r="X29" s="81"/>
      <c r="Y29" s="81"/>
      <c r="Z29" s="81"/>
    </row>
    <row r="30" ht="15.75" customHeight="1">
      <c r="A30" s="27" t="s">
        <v>114</v>
      </c>
      <c r="B30" s="85"/>
      <c r="C30" s="85"/>
      <c r="D30" s="85"/>
      <c r="E30" s="85">
        <f t="shared" ref="E30:S30" si="14">E29*0.2</f>
        <v>20000</v>
      </c>
      <c r="F30" s="85">
        <f t="shared" si="14"/>
        <v>20000</v>
      </c>
      <c r="G30" s="85">
        <f t="shared" si="14"/>
        <v>20000</v>
      </c>
      <c r="H30" s="85">
        <f t="shared" si="14"/>
        <v>40000</v>
      </c>
      <c r="I30" s="85">
        <f t="shared" si="14"/>
        <v>40000</v>
      </c>
      <c r="J30" s="85">
        <f t="shared" si="14"/>
        <v>40000</v>
      </c>
      <c r="K30" s="85">
        <f t="shared" si="14"/>
        <v>60000</v>
      </c>
      <c r="L30" s="85">
        <f t="shared" si="14"/>
        <v>60000</v>
      </c>
      <c r="M30" s="85">
        <f t="shared" si="14"/>
        <v>60000</v>
      </c>
      <c r="N30" s="85">
        <f t="shared" si="14"/>
        <v>90000</v>
      </c>
      <c r="O30" s="85">
        <f t="shared" si="14"/>
        <v>90000</v>
      </c>
      <c r="P30" s="85">
        <f t="shared" si="14"/>
        <v>90000</v>
      </c>
      <c r="Q30" s="85">
        <f t="shared" si="14"/>
        <v>135000</v>
      </c>
      <c r="R30" s="85">
        <f t="shared" si="14"/>
        <v>135000</v>
      </c>
      <c r="S30" s="85">
        <f t="shared" si="14"/>
        <v>135000</v>
      </c>
      <c r="T30" s="81"/>
      <c r="U30" s="81"/>
      <c r="V30" s="81"/>
      <c r="W30" s="81"/>
      <c r="X30" s="81"/>
      <c r="Y30" s="81"/>
      <c r="Z30" s="81"/>
    </row>
    <row r="31" ht="15.75" customHeight="1">
      <c r="A31" s="84" t="s">
        <v>112</v>
      </c>
      <c r="B31" s="85">
        <v>0.0</v>
      </c>
      <c r="C31" s="85">
        <v>0.0</v>
      </c>
      <c r="D31" s="85">
        <v>0.0</v>
      </c>
      <c r="E31" s="85">
        <f t="shared" ref="E31:S31" si="15">E14
</f>
        <v>2000</v>
      </c>
      <c r="F31" s="85">
        <f t="shared" si="15"/>
        <v>2000</v>
      </c>
      <c r="G31" s="85">
        <f t="shared" si="15"/>
        <v>2000</v>
      </c>
      <c r="H31" s="85">
        <f t="shared" si="15"/>
        <v>4000</v>
      </c>
      <c r="I31" s="85">
        <f t="shared" si="15"/>
        <v>4000</v>
      </c>
      <c r="J31" s="85">
        <f t="shared" si="15"/>
        <v>4000</v>
      </c>
      <c r="K31" s="85">
        <f t="shared" si="15"/>
        <v>6000</v>
      </c>
      <c r="L31" s="85">
        <f t="shared" si="15"/>
        <v>6000</v>
      </c>
      <c r="M31" s="85">
        <f t="shared" si="15"/>
        <v>6000</v>
      </c>
      <c r="N31" s="85">
        <f t="shared" si="15"/>
        <v>9000</v>
      </c>
      <c r="O31" s="85">
        <f t="shared" si="15"/>
        <v>9000</v>
      </c>
      <c r="P31" s="85">
        <f t="shared" si="15"/>
        <v>9000</v>
      </c>
      <c r="Q31" s="85">
        <f t="shared" si="15"/>
        <v>13500</v>
      </c>
      <c r="R31" s="85">
        <f t="shared" si="15"/>
        <v>13500</v>
      </c>
      <c r="S31" s="85">
        <f t="shared" si="15"/>
        <v>13500</v>
      </c>
      <c r="T31" s="81"/>
      <c r="U31" s="81"/>
      <c r="V31" s="81"/>
      <c r="W31" s="81"/>
      <c r="X31" s="81"/>
      <c r="Y31" s="81"/>
      <c r="Z31" s="81"/>
    </row>
    <row r="32" ht="15.75" customHeight="1">
      <c r="A32" s="88" t="s">
        <v>115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1"/>
      <c r="U32" s="81"/>
      <c r="V32" s="81"/>
      <c r="W32" s="81"/>
      <c r="X32" s="81"/>
      <c r="Y32" s="81"/>
      <c r="Z32" s="81"/>
    </row>
    <row r="33" ht="15.75" customHeight="1">
      <c r="A33" s="27" t="s">
        <v>116</v>
      </c>
      <c r="B33" s="85">
        <v>0.0</v>
      </c>
      <c r="C33" s="85">
        <v>0.0</v>
      </c>
      <c r="D33" s="85">
        <v>0.0</v>
      </c>
      <c r="E33" s="85">
        <f t="shared" ref="E33:S33" si="16">E8
</f>
        <v>30000</v>
      </c>
      <c r="F33" s="85">
        <f t="shared" si="16"/>
        <v>30000</v>
      </c>
      <c r="G33" s="85">
        <f t="shared" si="16"/>
        <v>30000</v>
      </c>
      <c r="H33" s="85">
        <f t="shared" si="16"/>
        <v>60000</v>
      </c>
      <c r="I33" s="85">
        <f t="shared" si="16"/>
        <v>60000</v>
      </c>
      <c r="J33" s="85">
        <f t="shared" si="16"/>
        <v>60000</v>
      </c>
      <c r="K33" s="85">
        <f t="shared" si="16"/>
        <v>90000</v>
      </c>
      <c r="L33" s="85">
        <f t="shared" si="16"/>
        <v>90000</v>
      </c>
      <c r="M33" s="85">
        <f t="shared" si="16"/>
        <v>90000</v>
      </c>
      <c r="N33" s="85">
        <f t="shared" si="16"/>
        <v>135000</v>
      </c>
      <c r="O33" s="85">
        <f t="shared" si="16"/>
        <v>135000</v>
      </c>
      <c r="P33" s="85">
        <f t="shared" si="16"/>
        <v>135000</v>
      </c>
      <c r="Q33" s="85">
        <f t="shared" si="16"/>
        <v>202500</v>
      </c>
      <c r="R33" s="85">
        <f t="shared" si="16"/>
        <v>202500</v>
      </c>
      <c r="S33" s="85">
        <f t="shared" si="16"/>
        <v>202500</v>
      </c>
      <c r="T33" s="81"/>
      <c r="U33" s="81"/>
      <c r="V33" s="81"/>
      <c r="W33" s="81"/>
      <c r="X33" s="81"/>
      <c r="Y33" s="81"/>
      <c r="Z33" s="81"/>
    </row>
    <row r="34" ht="15.75" customHeight="1">
      <c r="A34" s="84" t="s">
        <v>112</v>
      </c>
      <c r="B34" s="85">
        <v>0.0</v>
      </c>
      <c r="C34" s="85">
        <v>0.0</v>
      </c>
      <c r="D34" s="85">
        <v>0.0</v>
      </c>
      <c r="E34" s="74">
        <f t="shared" ref="E34:S34" si="17">0.02*E8</f>
        <v>600</v>
      </c>
      <c r="F34" s="74">
        <f t="shared" si="17"/>
        <v>600</v>
      </c>
      <c r="G34" s="74">
        <f t="shared" si="17"/>
        <v>600</v>
      </c>
      <c r="H34" s="74">
        <f t="shared" si="17"/>
        <v>1200</v>
      </c>
      <c r="I34" s="74">
        <f t="shared" si="17"/>
        <v>1200</v>
      </c>
      <c r="J34" s="74">
        <f t="shared" si="17"/>
        <v>1200</v>
      </c>
      <c r="K34" s="74">
        <f t="shared" si="17"/>
        <v>1800</v>
      </c>
      <c r="L34" s="74">
        <f t="shared" si="17"/>
        <v>1800</v>
      </c>
      <c r="M34" s="74">
        <f t="shared" si="17"/>
        <v>1800</v>
      </c>
      <c r="N34" s="74">
        <f t="shared" si="17"/>
        <v>2700</v>
      </c>
      <c r="O34" s="74">
        <f t="shared" si="17"/>
        <v>2700</v>
      </c>
      <c r="P34" s="74">
        <f t="shared" si="17"/>
        <v>2700</v>
      </c>
      <c r="Q34" s="74">
        <f t="shared" si="17"/>
        <v>4050</v>
      </c>
      <c r="R34" s="74">
        <f t="shared" si="17"/>
        <v>4050</v>
      </c>
      <c r="S34" s="74">
        <f t="shared" si="17"/>
        <v>4050</v>
      </c>
      <c r="T34" s="81"/>
      <c r="U34" s="81"/>
      <c r="V34" s="81"/>
      <c r="W34" s="81"/>
      <c r="X34" s="81"/>
      <c r="Y34" s="81"/>
      <c r="Z34" s="81"/>
    </row>
    <row r="35" ht="15.75" customHeight="1">
      <c r="A35" s="84"/>
      <c r="B35" s="85"/>
      <c r="C35" s="85"/>
      <c r="D35" s="85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81"/>
      <c r="U35" s="81"/>
      <c r="V35" s="81"/>
      <c r="W35" s="81"/>
      <c r="X35" s="81"/>
      <c r="Y35" s="81"/>
      <c r="Z35" s="81"/>
    </row>
    <row r="36" ht="15.75" customHeight="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15.75" customHeight="1">
      <c r="A37" s="91" t="s">
        <v>117</v>
      </c>
      <c r="B37" s="79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5.75" customHeight="1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ht="15.75" customHeight="1">
      <c r="A39" s="83" t="s">
        <v>118</v>
      </c>
      <c r="B39" s="92">
        <f>'Cost_structure (B2C)'!C3
</f>
        <v>100</v>
      </c>
      <c r="C39" s="92">
        <f>'Cost_structure (B2C)'!D3
</f>
        <v>500</v>
      </c>
      <c r="D39" s="92">
        <f>'Cost_structure (B2C)'!E3
</f>
        <v>1000</v>
      </c>
      <c r="E39" s="92">
        <f>'Cost_structure (B2C)'!F3
</f>
        <v>4000</v>
      </c>
      <c r="F39" s="92">
        <f>'Cost_structure (B2C)'!G3
</f>
        <v>7000</v>
      </c>
      <c r="G39" s="92">
        <f>'Cost_structure (B2C)'!H3
</f>
        <v>10000</v>
      </c>
      <c r="H39" s="92">
        <f>'Cost_structure (B2C)'!I3
</f>
        <v>15750</v>
      </c>
      <c r="I39" s="92">
        <f>'Cost_structure (B2C)'!J3
</f>
        <v>21500</v>
      </c>
      <c r="J39" s="92">
        <f>'Cost_structure (B2C)'!K3
</f>
        <v>27250</v>
      </c>
      <c r="K39" s="92">
        <f>'Cost_structure (B2C)'!L3
</f>
        <v>35900</v>
      </c>
      <c r="L39" s="92">
        <f>'Cost_structure (B2C)'!M3
</f>
        <v>44550</v>
      </c>
      <c r="M39" s="92">
        <f>'Cost_structure (B2C)'!N3
</f>
        <v>53200</v>
      </c>
      <c r="N39" s="92">
        <f>'Cost_structure (B2C)'!O3
</f>
        <v>65750</v>
      </c>
      <c r="O39" s="92">
        <f>'Cost_structure (B2C)'!P3
</f>
        <v>78300</v>
      </c>
      <c r="P39" s="92">
        <f>'Cost_structure (B2C)'!Q3
</f>
        <v>90850</v>
      </c>
      <c r="Q39" s="92">
        <f>'Cost_structure (B2C)'!R3
</f>
        <v>109850</v>
      </c>
      <c r="R39" s="92">
        <f>'Cost_structure (B2C)'!S3
</f>
        <v>128850</v>
      </c>
      <c r="S39" s="92">
        <f>'Cost_structure (B2C)'!T3
</f>
        <v>147850</v>
      </c>
      <c r="T39" s="81"/>
      <c r="U39" s="81"/>
      <c r="V39" s="81"/>
      <c r="W39" s="81"/>
      <c r="X39" s="81"/>
      <c r="Y39" s="81"/>
      <c r="Z39" s="81"/>
    </row>
    <row r="40" ht="15.75" customHeight="1">
      <c r="A40" s="84" t="s">
        <v>119</v>
      </c>
      <c r="B40" s="85">
        <v>100.0</v>
      </c>
      <c r="C40" s="85">
        <v>500.0</v>
      </c>
      <c r="D40" s="85">
        <v>1000.0</v>
      </c>
      <c r="E40" s="85">
        <f t="shared" ref="E40:S40" si="18">E39-SUM(E41:E42)</f>
        <v>3905</v>
      </c>
      <c r="F40" s="85">
        <f t="shared" si="18"/>
        <v>6857.5</v>
      </c>
      <c r="G40" s="85">
        <f t="shared" si="18"/>
        <v>9786.25</v>
      </c>
      <c r="H40" s="85">
        <f t="shared" si="18"/>
        <v>15429.375</v>
      </c>
      <c r="I40" s="85">
        <f t="shared" si="18"/>
        <v>21019.0625</v>
      </c>
      <c r="J40" s="85">
        <f t="shared" si="18"/>
        <v>26569.46875</v>
      </c>
      <c r="K40" s="85">
        <f t="shared" si="18"/>
        <v>34924.70313</v>
      </c>
      <c r="L40" s="85">
        <f t="shared" si="18"/>
        <v>43137.55469</v>
      </c>
      <c r="M40" s="85">
        <f t="shared" si="18"/>
        <v>51136.83203</v>
      </c>
      <c r="N40" s="85">
        <f t="shared" si="18"/>
        <v>62715.74805</v>
      </c>
      <c r="O40" s="85">
        <f t="shared" si="18"/>
        <v>73814.12207</v>
      </c>
      <c r="P40" s="85">
        <f t="shared" si="18"/>
        <v>84191.68311</v>
      </c>
      <c r="Q40" s="85">
        <f t="shared" si="18"/>
        <v>99938.02466</v>
      </c>
      <c r="R40" s="85">
        <f t="shared" si="18"/>
        <v>114062.537</v>
      </c>
      <c r="S40" s="85">
        <f t="shared" si="18"/>
        <v>125754.3055</v>
      </c>
      <c r="T40" s="81"/>
      <c r="U40" s="74"/>
      <c r="V40" s="81"/>
      <c r="W40" s="81"/>
      <c r="X40" s="81"/>
      <c r="Y40" s="81"/>
      <c r="Z40" s="81"/>
    </row>
    <row r="41" ht="15.75" customHeight="1">
      <c r="A41" s="84" t="s">
        <v>120</v>
      </c>
      <c r="B41" s="85">
        <v>0.0</v>
      </c>
      <c r="C41" s="85">
        <v>0.0</v>
      </c>
      <c r="D41" s="85">
        <v>0.0</v>
      </c>
      <c r="E41" s="85">
        <v>20.0</v>
      </c>
      <c r="F41" s="85">
        <v>30.0</v>
      </c>
      <c r="G41" s="85">
        <v>45.0</v>
      </c>
      <c r="H41" s="89">
        <f t="shared" ref="H41:I41" si="19">G41*1.5</f>
        <v>67.5</v>
      </c>
      <c r="I41" s="89">
        <f t="shared" si="19"/>
        <v>101.25</v>
      </c>
      <c r="J41" s="89">
        <f>111</f>
        <v>111</v>
      </c>
      <c r="K41" s="89">
        <f>121</f>
        <v>121</v>
      </c>
      <c r="L41" s="85">
        <v>131.0</v>
      </c>
      <c r="M41" s="85">
        <v>141.0</v>
      </c>
      <c r="N41" s="85">
        <v>151.0</v>
      </c>
      <c r="O41" s="85">
        <v>161.0</v>
      </c>
      <c r="P41" s="85">
        <v>171.0</v>
      </c>
      <c r="Q41" s="85">
        <v>181.0</v>
      </c>
      <c r="R41" s="85">
        <v>191.0</v>
      </c>
      <c r="S41" s="85">
        <v>201.0</v>
      </c>
      <c r="T41" s="89"/>
      <c r="U41" s="74"/>
      <c r="V41" s="81"/>
      <c r="W41" s="81"/>
      <c r="X41" s="81"/>
      <c r="Y41" s="81"/>
      <c r="Z41" s="81"/>
    </row>
    <row r="42" ht="15.75" customHeight="1">
      <c r="A42" s="84" t="s">
        <v>121</v>
      </c>
      <c r="B42" s="85">
        <v>0.0</v>
      </c>
      <c r="C42" s="85">
        <v>0.0</v>
      </c>
      <c r="D42" s="85">
        <v>0.0</v>
      </c>
      <c r="E42" s="85">
        <v>75.0</v>
      </c>
      <c r="F42" s="89">
        <f t="shared" ref="F42:S42" si="20">E42*1.5</f>
        <v>112.5</v>
      </c>
      <c r="G42" s="85">
        <f t="shared" si="20"/>
        <v>168.75</v>
      </c>
      <c r="H42" s="85">
        <f t="shared" si="20"/>
        <v>253.125</v>
      </c>
      <c r="I42" s="85">
        <f t="shared" si="20"/>
        <v>379.6875</v>
      </c>
      <c r="J42" s="85">
        <f t="shared" si="20"/>
        <v>569.53125</v>
      </c>
      <c r="K42" s="85">
        <f t="shared" si="20"/>
        <v>854.296875</v>
      </c>
      <c r="L42" s="85">
        <f t="shared" si="20"/>
        <v>1281.445313</v>
      </c>
      <c r="M42" s="85">
        <f t="shared" si="20"/>
        <v>1922.167969</v>
      </c>
      <c r="N42" s="85">
        <f t="shared" si="20"/>
        <v>2883.251953</v>
      </c>
      <c r="O42" s="85">
        <f t="shared" si="20"/>
        <v>4324.87793</v>
      </c>
      <c r="P42" s="85">
        <f t="shared" si="20"/>
        <v>6487.316895</v>
      </c>
      <c r="Q42" s="85">
        <f t="shared" si="20"/>
        <v>9730.975342</v>
      </c>
      <c r="R42" s="85">
        <f t="shared" si="20"/>
        <v>14596.46301</v>
      </c>
      <c r="S42" s="85">
        <f t="shared" si="20"/>
        <v>21894.69452</v>
      </c>
      <c r="T42" s="81"/>
      <c r="U42" s="81"/>
      <c r="V42" s="81"/>
      <c r="W42" s="81"/>
      <c r="X42" s="81"/>
      <c r="Y42" s="81"/>
      <c r="Z42" s="81"/>
    </row>
    <row r="43" ht="15.75" customHeight="1">
      <c r="A43" s="84"/>
      <c r="B43" s="89"/>
      <c r="C43" s="89"/>
      <c r="D43" s="85"/>
      <c r="E43" s="85"/>
      <c r="F43" s="89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1"/>
      <c r="U43" s="81"/>
      <c r="V43" s="81"/>
      <c r="W43" s="81"/>
      <c r="X43" s="81"/>
      <c r="Y43" s="81"/>
      <c r="Z43" s="81"/>
    </row>
    <row r="44" ht="15.75" customHeight="1">
      <c r="A44" s="88" t="s">
        <v>122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1"/>
      <c r="U44" s="81"/>
      <c r="V44" s="81"/>
      <c r="W44" s="81"/>
      <c r="X44" s="81"/>
      <c r="Y44" s="81"/>
      <c r="Z44" s="81"/>
    </row>
    <row r="45" ht="15.75" customHeight="1">
      <c r="A45" s="84" t="s">
        <v>119</v>
      </c>
      <c r="B45" s="85">
        <v>0.0</v>
      </c>
      <c r="C45" s="85">
        <v>0.0</v>
      </c>
      <c r="D45" s="85">
        <v>0.0</v>
      </c>
      <c r="E45" s="85">
        <f>sum(E18:E21)</f>
        <v>74</v>
      </c>
      <c r="F45" s="85">
        <f t="shared" ref="F45:S45" si="21">E45+sum(F18:F21)</f>
        <v>148</v>
      </c>
      <c r="G45" s="85">
        <f t="shared" si="21"/>
        <v>222</v>
      </c>
      <c r="H45" s="85">
        <f t="shared" si="21"/>
        <v>349</v>
      </c>
      <c r="I45" s="85">
        <f t="shared" si="21"/>
        <v>476</v>
      </c>
      <c r="J45" s="85">
        <f t="shared" si="21"/>
        <v>603</v>
      </c>
      <c r="K45" s="85">
        <f t="shared" si="21"/>
        <v>791</v>
      </c>
      <c r="L45" s="85">
        <f t="shared" si="21"/>
        <v>979</v>
      </c>
      <c r="M45" s="85">
        <f t="shared" si="21"/>
        <v>1167</v>
      </c>
      <c r="N45" s="85">
        <f t="shared" si="21"/>
        <v>1424</v>
      </c>
      <c r="O45" s="85">
        <f t="shared" si="21"/>
        <v>1681</v>
      </c>
      <c r="P45" s="85">
        <f t="shared" si="21"/>
        <v>1938</v>
      </c>
      <c r="Q45" s="85">
        <f t="shared" si="21"/>
        <v>2329</v>
      </c>
      <c r="R45" s="85">
        <f t="shared" si="21"/>
        <v>2720</v>
      </c>
      <c r="S45" s="85">
        <f t="shared" si="21"/>
        <v>3111</v>
      </c>
      <c r="T45" s="81"/>
      <c r="U45" s="81"/>
      <c r="V45" s="81"/>
      <c r="W45" s="81"/>
      <c r="X45" s="81"/>
      <c r="Y45" s="81"/>
      <c r="Z45" s="81"/>
    </row>
    <row r="46" ht="15.75" customHeight="1">
      <c r="A46" s="84" t="s">
        <v>120</v>
      </c>
      <c r="B46" s="85">
        <v>0.0</v>
      </c>
      <c r="C46" s="89">
        <f>C41*0.7</f>
        <v>0</v>
      </c>
      <c r="D46" s="85">
        <v>0.0</v>
      </c>
      <c r="E46" s="89">
        <f t="shared" ref="E46:S46" si="22">E41*0.1</f>
        <v>2</v>
      </c>
      <c r="F46" s="89">
        <f t="shared" si="22"/>
        <v>3</v>
      </c>
      <c r="G46" s="89">
        <f t="shared" si="22"/>
        <v>4.5</v>
      </c>
      <c r="H46" s="89">
        <f t="shared" si="22"/>
        <v>6.75</v>
      </c>
      <c r="I46" s="89">
        <f t="shared" si="22"/>
        <v>10.125</v>
      </c>
      <c r="J46" s="89">
        <f t="shared" si="22"/>
        <v>11.1</v>
      </c>
      <c r="K46" s="89">
        <f t="shared" si="22"/>
        <v>12.1</v>
      </c>
      <c r="L46" s="89">
        <f t="shared" si="22"/>
        <v>13.1</v>
      </c>
      <c r="M46" s="89">
        <f t="shared" si="22"/>
        <v>14.1</v>
      </c>
      <c r="N46" s="89">
        <f t="shared" si="22"/>
        <v>15.1</v>
      </c>
      <c r="O46" s="89">
        <f t="shared" si="22"/>
        <v>16.1</v>
      </c>
      <c r="P46" s="89">
        <f t="shared" si="22"/>
        <v>17.1</v>
      </c>
      <c r="Q46" s="89">
        <f t="shared" si="22"/>
        <v>18.1</v>
      </c>
      <c r="R46" s="89">
        <f t="shared" si="22"/>
        <v>19.1</v>
      </c>
      <c r="S46" s="89">
        <f t="shared" si="22"/>
        <v>20.1</v>
      </c>
      <c r="T46" s="81"/>
      <c r="U46" s="81"/>
      <c r="V46" s="81"/>
      <c r="W46" s="81"/>
      <c r="X46" s="81"/>
      <c r="Y46" s="81"/>
      <c r="Z46" s="81"/>
    </row>
    <row r="47" ht="15.75" customHeight="1">
      <c r="A47" s="84" t="s">
        <v>121</v>
      </c>
      <c r="B47" s="85">
        <v>0.0</v>
      </c>
      <c r="C47" s="85">
        <v>0.0</v>
      </c>
      <c r="D47" s="85">
        <v>0.0</v>
      </c>
      <c r="E47" s="89">
        <f t="shared" ref="E47:S47" si="23">E42*0.05</f>
        <v>3.75</v>
      </c>
      <c r="F47" s="89">
        <f t="shared" si="23"/>
        <v>5.625</v>
      </c>
      <c r="G47" s="89">
        <f t="shared" si="23"/>
        <v>8.4375</v>
      </c>
      <c r="H47" s="89">
        <f t="shared" si="23"/>
        <v>12.65625</v>
      </c>
      <c r="I47" s="89">
        <f t="shared" si="23"/>
        <v>18.984375</v>
      </c>
      <c r="J47" s="89">
        <f t="shared" si="23"/>
        <v>28.4765625</v>
      </c>
      <c r="K47" s="89">
        <f t="shared" si="23"/>
        <v>42.71484375</v>
      </c>
      <c r="L47" s="89">
        <f t="shared" si="23"/>
        <v>64.07226563</v>
      </c>
      <c r="M47" s="89">
        <f t="shared" si="23"/>
        <v>96.10839844</v>
      </c>
      <c r="N47" s="89">
        <f t="shared" si="23"/>
        <v>144.1625977</v>
      </c>
      <c r="O47" s="89">
        <f t="shared" si="23"/>
        <v>216.2438965</v>
      </c>
      <c r="P47" s="89">
        <f t="shared" si="23"/>
        <v>324.3658447</v>
      </c>
      <c r="Q47" s="89">
        <f t="shared" si="23"/>
        <v>486.5487671</v>
      </c>
      <c r="R47" s="89">
        <f t="shared" si="23"/>
        <v>729.8231506</v>
      </c>
      <c r="S47" s="89">
        <f t="shared" si="23"/>
        <v>1094.734726</v>
      </c>
      <c r="T47" s="81"/>
      <c r="U47" s="81"/>
      <c r="V47" s="81"/>
      <c r="W47" s="81"/>
      <c r="X47" s="81"/>
      <c r="Y47" s="81"/>
      <c r="Z47" s="81"/>
    </row>
    <row r="48" ht="15.75" customHeight="1">
      <c r="A48" s="84"/>
      <c r="B48" s="89"/>
      <c r="C48" s="89"/>
      <c r="D48" s="89"/>
      <c r="E48" s="89"/>
      <c r="F48" s="89"/>
      <c r="G48" s="89"/>
      <c r="H48" s="89"/>
      <c r="I48" s="89"/>
      <c r="J48" s="93"/>
      <c r="K48" s="89"/>
      <c r="L48" s="89"/>
      <c r="M48" s="89"/>
      <c r="N48" s="89"/>
      <c r="O48" s="89"/>
      <c r="P48" s="89"/>
      <c r="Q48" s="89"/>
      <c r="R48" s="89"/>
      <c r="S48" s="89"/>
      <c r="T48" s="81"/>
      <c r="U48" s="81"/>
      <c r="V48" s="81"/>
      <c r="W48" s="81"/>
      <c r="X48" s="81"/>
      <c r="Y48" s="81"/>
      <c r="Z48" s="81"/>
    </row>
    <row r="49" ht="15.75" customHeight="1">
      <c r="A49" s="88" t="s">
        <v>123</v>
      </c>
      <c r="B49" s="92">
        <f t="shared" ref="B49:S49" si="24">sum(B50:B53)</f>
        <v>0</v>
      </c>
      <c r="C49" s="92">
        <f t="shared" si="24"/>
        <v>0</v>
      </c>
      <c r="D49" s="92">
        <f t="shared" si="24"/>
        <v>0</v>
      </c>
      <c r="E49" s="92">
        <f t="shared" si="24"/>
        <v>36270.25</v>
      </c>
      <c r="F49" s="92">
        <f t="shared" si="24"/>
        <v>69168.375</v>
      </c>
      <c r="G49" s="92">
        <f t="shared" si="24"/>
        <v>103752.5625</v>
      </c>
      <c r="H49" s="92">
        <f t="shared" si="24"/>
        <v>162012.8438</v>
      </c>
      <c r="I49" s="92">
        <f t="shared" si="24"/>
        <v>224066.7656</v>
      </c>
      <c r="J49" s="92">
        <f t="shared" si="24"/>
        <v>285683.9859</v>
      </c>
      <c r="K49" s="92">
        <f t="shared" si="24"/>
        <v>376419.0289</v>
      </c>
      <c r="L49" s="92">
        <f t="shared" si="24"/>
        <v>474266.0934</v>
      </c>
      <c r="M49" s="92">
        <f t="shared" si="24"/>
        <v>10797181.19</v>
      </c>
      <c r="N49" s="92">
        <f t="shared" si="24"/>
        <v>13358829.34</v>
      </c>
      <c r="O49" s="92">
        <f t="shared" si="24"/>
        <v>15944480.55</v>
      </c>
      <c r="P49" s="92">
        <f t="shared" si="24"/>
        <v>18566136.38</v>
      </c>
      <c r="Q49" s="92">
        <f t="shared" si="24"/>
        <v>22533665.12</v>
      </c>
      <c r="R49" s="92">
        <f t="shared" si="24"/>
        <v>26582204.23</v>
      </c>
      <c r="S49" s="92">
        <f t="shared" si="24"/>
        <v>30752258.89</v>
      </c>
      <c r="T49" s="81"/>
      <c r="U49" s="81"/>
      <c r="V49" s="81"/>
      <c r="W49" s="81"/>
      <c r="X49" s="81"/>
      <c r="Y49" s="81"/>
      <c r="Z49" s="81"/>
    </row>
    <row r="50" ht="15.75" customHeight="1">
      <c r="A50" s="84" t="s">
        <v>124</v>
      </c>
      <c r="B50" s="85">
        <f t="shared" ref="B50:S50" si="25">399*B45</f>
        <v>0</v>
      </c>
      <c r="C50" s="85">
        <f t="shared" si="25"/>
        <v>0</v>
      </c>
      <c r="D50" s="85">
        <f t="shared" si="25"/>
        <v>0</v>
      </c>
      <c r="E50" s="85">
        <f t="shared" si="25"/>
        <v>29526</v>
      </c>
      <c r="F50" s="85">
        <f t="shared" si="25"/>
        <v>59052</v>
      </c>
      <c r="G50" s="85">
        <f t="shared" si="25"/>
        <v>88578</v>
      </c>
      <c r="H50" s="85">
        <f t="shared" si="25"/>
        <v>139251</v>
      </c>
      <c r="I50" s="85">
        <f t="shared" si="25"/>
        <v>189924</v>
      </c>
      <c r="J50" s="85">
        <f t="shared" si="25"/>
        <v>240597</v>
      </c>
      <c r="K50" s="85">
        <f t="shared" si="25"/>
        <v>315609</v>
      </c>
      <c r="L50" s="85">
        <f t="shared" si="25"/>
        <v>390621</v>
      </c>
      <c r="M50" s="85">
        <f t="shared" si="25"/>
        <v>465633</v>
      </c>
      <c r="N50" s="85">
        <f t="shared" si="25"/>
        <v>568176</v>
      </c>
      <c r="O50" s="85">
        <f t="shared" si="25"/>
        <v>670719</v>
      </c>
      <c r="P50" s="85">
        <f t="shared" si="25"/>
        <v>773262</v>
      </c>
      <c r="Q50" s="85">
        <f t="shared" si="25"/>
        <v>929271</v>
      </c>
      <c r="R50" s="85">
        <f t="shared" si="25"/>
        <v>1085280</v>
      </c>
      <c r="S50" s="85">
        <f t="shared" si="25"/>
        <v>1241289</v>
      </c>
      <c r="T50" s="81"/>
      <c r="U50" s="74"/>
      <c r="V50" s="81"/>
      <c r="W50" s="81"/>
      <c r="X50" s="81"/>
      <c r="Y50" s="81"/>
      <c r="Z50" s="81"/>
    </row>
    <row r="51" ht="15.75" customHeight="1">
      <c r="A51" s="84" t="s">
        <v>125</v>
      </c>
      <c r="B51" s="94">
        <v>0.0</v>
      </c>
      <c r="C51" s="94">
        <v>0.0</v>
      </c>
      <c r="D51" s="94">
        <v>0.0</v>
      </c>
      <c r="E51" s="95">
        <f t="shared" ref="E51:S51" si="26">1499*E46</f>
        <v>2998</v>
      </c>
      <c r="F51" s="95">
        <f t="shared" si="26"/>
        <v>4497</v>
      </c>
      <c r="G51" s="95">
        <f t="shared" si="26"/>
        <v>6745.5</v>
      </c>
      <c r="H51" s="95">
        <f t="shared" si="26"/>
        <v>10118.25</v>
      </c>
      <c r="I51" s="95">
        <f t="shared" si="26"/>
        <v>15177.375</v>
      </c>
      <c r="J51" s="95">
        <f t="shared" si="26"/>
        <v>16638.9</v>
      </c>
      <c r="K51" s="95">
        <f t="shared" si="26"/>
        <v>18137.9</v>
      </c>
      <c r="L51" s="95">
        <f t="shared" si="26"/>
        <v>19636.9</v>
      </c>
      <c r="M51" s="95">
        <f t="shared" si="26"/>
        <v>21135.9</v>
      </c>
      <c r="N51" s="95">
        <f t="shared" si="26"/>
        <v>22634.9</v>
      </c>
      <c r="O51" s="95">
        <f t="shared" si="26"/>
        <v>24133.9</v>
      </c>
      <c r="P51" s="95">
        <f t="shared" si="26"/>
        <v>25632.9</v>
      </c>
      <c r="Q51" s="95">
        <f t="shared" si="26"/>
        <v>27131.9</v>
      </c>
      <c r="R51" s="95">
        <f t="shared" si="26"/>
        <v>28630.9</v>
      </c>
      <c r="S51" s="95">
        <f t="shared" si="26"/>
        <v>30129.9</v>
      </c>
      <c r="T51" s="81"/>
      <c r="U51" s="74"/>
      <c r="V51" s="81"/>
      <c r="W51" s="81"/>
      <c r="X51" s="81"/>
      <c r="Y51" s="81"/>
      <c r="Z51" s="81"/>
    </row>
    <row r="52" ht="15.75" customHeight="1">
      <c r="A52" s="84" t="s">
        <v>126</v>
      </c>
      <c r="B52" s="94">
        <v>0.0</v>
      </c>
      <c r="C52" s="94">
        <v>0.0</v>
      </c>
      <c r="D52" s="94">
        <v>0.0</v>
      </c>
      <c r="E52" s="95">
        <f t="shared" ref="E52:S52" si="27">999*E47</f>
        <v>3746.25</v>
      </c>
      <c r="F52" s="95">
        <f t="shared" si="27"/>
        <v>5619.375</v>
      </c>
      <c r="G52" s="95">
        <f t="shared" si="27"/>
        <v>8429.0625</v>
      </c>
      <c r="H52" s="95">
        <f t="shared" si="27"/>
        <v>12643.59375</v>
      </c>
      <c r="I52" s="95">
        <f t="shared" si="27"/>
        <v>18965.39063</v>
      </c>
      <c r="J52" s="95">
        <f t="shared" si="27"/>
        <v>28448.08594</v>
      </c>
      <c r="K52" s="95">
        <f t="shared" si="27"/>
        <v>42672.12891</v>
      </c>
      <c r="L52" s="95">
        <f t="shared" si="27"/>
        <v>64008.19336</v>
      </c>
      <c r="M52" s="95">
        <f t="shared" si="27"/>
        <v>96012.29004</v>
      </c>
      <c r="N52" s="95">
        <f t="shared" si="27"/>
        <v>144018.4351</v>
      </c>
      <c r="O52" s="95">
        <f t="shared" si="27"/>
        <v>216027.6526</v>
      </c>
      <c r="P52" s="95">
        <f t="shared" si="27"/>
        <v>324041.4789</v>
      </c>
      <c r="Q52" s="95">
        <f t="shared" si="27"/>
        <v>486062.2183</v>
      </c>
      <c r="R52" s="95">
        <f t="shared" si="27"/>
        <v>729093.3275</v>
      </c>
      <c r="S52" s="95">
        <f t="shared" si="27"/>
        <v>1093639.991</v>
      </c>
      <c r="T52" s="81"/>
      <c r="U52" s="74"/>
      <c r="V52" s="81"/>
      <c r="W52" s="81"/>
      <c r="X52" s="81"/>
      <c r="Y52" s="81"/>
      <c r="Z52" s="81"/>
    </row>
    <row r="53" ht="15.75" customHeight="1">
      <c r="A53" s="86" t="s">
        <v>127</v>
      </c>
      <c r="B53" s="81"/>
      <c r="C53" s="81"/>
      <c r="D53" s="81"/>
      <c r="E53" s="95">
        <f>999*E48</f>
        <v>0</v>
      </c>
      <c r="F53" s="81"/>
      <c r="G53" s="81"/>
      <c r="H53" s="81"/>
      <c r="I53" s="81"/>
      <c r="J53" s="81"/>
      <c r="K53" s="81"/>
      <c r="L53" s="81"/>
      <c r="M53" s="96">
        <f t="shared" ref="M53:S53" si="28">M39*0.8*40*6</f>
        <v>10214400</v>
      </c>
      <c r="N53" s="81">
        <f t="shared" si="28"/>
        <v>12624000</v>
      </c>
      <c r="O53" s="81">
        <f t="shared" si="28"/>
        <v>15033600</v>
      </c>
      <c r="P53" s="81">
        <f t="shared" si="28"/>
        <v>17443200</v>
      </c>
      <c r="Q53" s="81">
        <f t="shared" si="28"/>
        <v>21091200</v>
      </c>
      <c r="R53" s="81">
        <f t="shared" si="28"/>
        <v>24739200</v>
      </c>
      <c r="S53" s="81">
        <f t="shared" si="28"/>
        <v>28387200</v>
      </c>
      <c r="T53" s="81"/>
      <c r="U53" s="81"/>
      <c r="V53" s="81"/>
      <c r="W53" s="81"/>
      <c r="X53" s="81"/>
      <c r="Y53" s="81"/>
      <c r="Z53" s="81"/>
    </row>
    <row r="54" ht="15.75" customHeight="1">
      <c r="A54" s="86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15.75" customHeight="1">
      <c r="A55" s="97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ht="15.7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ht="15.75" customHeight="1">
      <c r="A57" s="91" t="s">
        <v>77</v>
      </c>
      <c r="B57" s="79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ht="15.75" customHeight="1">
      <c r="A58" s="81"/>
      <c r="B58" s="82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ht="15.75" customHeight="1">
      <c r="A59" s="88" t="s">
        <v>128</v>
      </c>
      <c r="B59" s="98" t="s">
        <v>129</v>
      </c>
      <c r="C59" s="99" t="s">
        <v>130</v>
      </c>
      <c r="D59" s="99" t="s">
        <v>81</v>
      </c>
      <c r="E59" s="100" t="s">
        <v>131</v>
      </c>
      <c r="F59" s="101" t="s">
        <v>132</v>
      </c>
      <c r="G59" s="101" t="s">
        <v>133</v>
      </c>
      <c r="H59" s="101" t="s">
        <v>134</v>
      </c>
      <c r="I59" s="101" t="s">
        <v>135</v>
      </c>
      <c r="J59" s="101" t="s">
        <v>136</v>
      </c>
      <c r="K59" s="101" t="s">
        <v>137</v>
      </c>
      <c r="L59" s="101" t="s">
        <v>138</v>
      </c>
      <c r="M59" s="101" t="s">
        <v>139</v>
      </c>
      <c r="N59" s="101" t="s">
        <v>140</v>
      </c>
      <c r="O59" s="101" t="s">
        <v>141</v>
      </c>
      <c r="P59" s="101" t="s">
        <v>142</v>
      </c>
      <c r="Q59" s="101" t="s">
        <v>143</v>
      </c>
      <c r="R59" s="101" t="s">
        <v>144</v>
      </c>
      <c r="S59" s="101" t="s">
        <v>145</v>
      </c>
      <c r="T59" s="81"/>
      <c r="U59" s="81"/>
      <c r="V59" s="81"/>
      <c r="W59" s="81"/>
      <c r="X59" s="81"/>
      <c r="Y59" s="81"/>
      <c r="Z59" s="81"/>
    </row>
    <row r="60" ht="15.75" customHeight="1">
      <c r="A60" s="84" t="s">
        <v>146</v>
      </c>
      <c r="B60" s="85">
        <v>0.0</v>
      </c>
      <c r="C60" s="102">
        <f t="shared" ref="C60:S60" si="29">(C40-B40)/B40</f>
        <v>4</v>
      </c>
      <c r="D60" s="102">
        <f t="shared" si="29"/>
        <v>1</v>
      </c>
      <c r="E60" s="102">
        <f t="shared" si="29"/>
        <v>2.905</v>
      </c>
      <c r="F60" s="102">
        <f t="shared" si="29"/>
        <v>0.7560819462</v>
      </c>
      <c r="G60" s="102">
        <f t="shared" si="29"/>
        <v>0.4270871309</v>
      </c>
      <c r="H60" s="102">
        <f t="shared" si="29"/>
        <v>0.5766381402</v>
      </c>
      <c r="I60" s="102">
        <f t="shared" si="29"/>
        <v>0.3622756917</v>
      </c>
      <c r="J60" s="102">
        <f t="shared" si="29"/>
        <v>0.2640653573</v>
      </c>
      <c r="K60" s="102">
        <f t="shared" si="29"/>
        <v>0.3144674985</v>
      </c>
      <c r="L60" s="102">
        <f t="shared" si="29"/>
        <v>0.2351588082</v>
      </c>
      <c r="M60" s="102">
        <f t="shared" si="29"/>
        <v>0.1854365043</v>
      </c>
      <c r="N60" s="102">
        <f t="shared" si="29"/>
        <v>0.2264300614</v>
      </c>
      <c r="O60" s="102">
        <f t="shared" si="29"/>
        <v>0.1769631132</v>
      </c>
      <c r="P60" s="102">
        <f t="shared" si="29"/>
        <v>0.1405904554</v>
      </c>
      <c r="Q60" s="102">
        <f t="shared" si="29"/>
        <v>0.1870296563</v>
      </c>
      <c r="R60" s="102">
        <f t="shared" si="29"/>
        <v>0.1413327147</v>
      </c>
      <c r="S60" s="102">
        <f t="shared" si="29"/>
        <v>0.1025031426</v>
      </c>
      <c r="T60" s="81"/>
      <c r="U60" s="74">
        <v>399.0</v>
      </c>
      <c r="V60" s="81"/>
      <c r="W60" s="81"/>
      <c r="X60" s="81"/>
      <c r="Y60" s="81"/>
      <c r="Z60" s="81"/>
    </row>
    <row r="61" ht="15.75" customHeight="1">
      <c r="A61" s="84" t="s">
        <v>120</v>
      </c>
      <c r="B61" s="94">
        <v>0.0</v>
      </c>
      <c r="C61" s="102" t="str">
        <f t="shared" ref="C61:S61" si="30">IF(B41=0,"",(C41-B41)/B41)</f>
        <v/>
      </c>
      <c r="D61" s="102" t="str">
        <f t="shared" si="30"/>
        <v/>
      </c>
      <c r="E61" s="102" t="str">
        <f t="shared" si="30"/>
        <v/>
      </c>
      <c r="F61" s="102">
        <f t="shared" si="30"/>
        <v>0.5</v>
      </c>
      <c r="G61" s="102">
        <f t="shared" si="30"/>
        <v>0.5</v>
      </c>
      <c r="H61" s="102">
        <f t="shared" si="30"/>
        <v>0.5</v>
      </c>
      <c r="I61" s="102">
        <f t="shared" si="30"/>
        <v>0.5</v>
      </c>
      <c r="J61" s="102">
        <f t="shared" si="30"/>
        <v>0.0962962963</v>
      </c>
      <c r="K61" s="102">
        <f t="shared" si="30"/>
        <v>0.09009009009</v>
      </c>
      <c r="L61" s="102">
        <f t="shared" si="30"/>
        <v>0.0826446281</v>
      </c>
      <c r="M61" s="102">
        <f t="shared" si="30"/>
        <v>0.07633587786</v>
      </c>
      <c r="N61" s="102">
        <f t="shared" si="30"/>
        <v>0.07092198582</v>
      </c>
      <c r="O61" s="102">
        <f t="shared" si="30"/>
        <v>0.06622516556</v>
      </c>
      <c r="P61" s="102">
        <f t="shared" si="30"/>
        <v>0.06211180124</v>
      </c>
      <c r="Q61" s="102">
        <f t="shared" si="30"/>
        <v>0.05847953216</v>
      </c>
      <c r="R61" s="102">
        <f t="shared" si="30"/>
        <v>0.05524861878</v>
      </c>
      <c r="S61" s="102">
        <f t="shared" si="30"/>
        <v>0.05235602094</v>
      </c>
      <c r="T61" s="81"/>
      <c r="U61" s="74">
        <v>1499.0</v>
      </c>
      <c r="V61" s="81"/>
      <c r="W61" s="81"/>
      <c r="X61" s="81"/>
      <c r="Y61" s="81"/>
      <c r="Z61" s="81"/>
    </row>
    <row r="62" ht="15.75" customHeight="1">
      <c r="A62" s="84" t="s">
        <v>121</v>
      </c>
      <c r="B62" s="94">
        <v>0.0</v>
      </c>
      <c r="C62" s="102" t="str">
        <f t="shared" ref="C62:S62" si="31">IF(B42=0,"",(C42-B42)/B42)</f>
        <v/>
      </c>
      <c r="D62" s="102" t="str">
        <f t="shared" si="31"/>
        <v/>
      </c>
      <c r="E62" s="102" t="str">
        <f t="shared" si="31"/>
        <v/>
      </c>
      <c r="F62" s="102">
        <f t="shared" si="31"/>
        <v>0.5</v>
      </c>
      <c r="G62" s="102">
        <f t="shared" si="31"/>
        <v>0.5</v>
      </c>
      <c r="H62" s="102">
        <f t="shared" si="31"/>
        <v>0.5</v>
      </c>
      <c r="I62" s="102">
        <f t="shared" si="31"/>
        <v>0.5</v>
      </c>
      <c r="J62" s="102">
        <f t="shared" si="31"/>
        <v>0.5</v>
      </c>
      <c r="K62" s="102">
        <f t="shared" si="31"/>
        <v>0.5</v>
      </c>
      <c r="L62" s="102">
        <f t="shared" si="31"/>
        <v>0.5</v>
      </c>
      <c r="M62" s="102">
        <f t="shared" si="31"/>
        <v>0.5</v>
      </c>
      <c r="N62" s="102">
        <f t="shared" si="31"/>
        <v>0.5</v>
      </c>
      <c r="O62" s="102">
        <f t="shared" si="31"/>
        <v>0.5</v>
      </c>
      <c r="P62" s="102">
        <f t="shared" si="31"/>
        <v>0.5</v>
      </c>
      <c r="Q62" s="102">
        <f t="shared" si="31"/>
        <v>0.5</v>
      </c>
      <c r="R62" s="102">
        <f t="shared" si="31"/>
        <v>0.5</v>
      </c>
      <c r="S62" s="102">
        <f t="shared" si="31"/>
        <v>0.5</v>
      </c>
      <c r="T62" s="81"/>
      <c r="U62" s="74">
        <v>999.0</v>
      </c>
      <c r="V62" s="81"/>
      <c r="W62" s="81"/>
      <c r="X62" s="81"/>
      <c r="Y62" s="81"/>
      <c r="Z62" s="81"/>
    </row>
    <row r="63" ht="15.75" customHeight="1">
      <c r="A63" s="81"/>
      <c r="B63" s="82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ht="15.75" customHeight="1">
      <c r="A64" s="81"/>
      <c r="B64" s="82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ht="15.75" customHeight="1">
      <c r="A65" s="88" t="s">
        <v>147</v>
      </c>
      <c r="B65" s="98" t="s">
        <v>129</v>
      </c>
      <c r="C65" s="99" t="s">
        <v>130</v>
      </c>
      <c r="D65" s="99" t="s">
        <v>81</v>
      </c>
      <c r="E65" s="100" t="s">
        <v>131</v>
      </c>
      <c r="F65" s="101" t="s">
        <v>132</v>
      </c>
      <c r="G65" s="101" t="s">
        <v>133</v>
      </c>
      <c r="H65" s="101" t="s">
        <v>134</v>
      </c>
      <c r="I65" s="101" t="s">
        <v>135</v>
      </c>
      <c r="J65" s="101" t="s">
        <v>136</v>
      </c>
      <c r="K65" s="101" t="s">
        <v>137</v>
      </c>
      <c r="L65" s="101" t="s">
        <v>138</v>
      </c>
      <c r="M65" s="101" t="s">
        <v>139</v>
      </c>
      <c r="N65" s="101" t="s">
        <v>140</v>
      </c>
      <c r="O65" s="101" t="s">
        <v>141</v>
      </c>
      <c r="P65" s="101" t="s">
        <v>142</v>
      </c>
      <c r="Q65" s="101" t="s">
        <v>143</v>
      </c>
      <c r="R65" s="101" t="s">
        <v>144</v>
      </c>
      <c r="S65" s="101" t="s">
        <v>145</v>
      </c>
      <c r="T65" s="81"/>
      <c r="U65" s="81"/>
      <c r="V65" s="81"/>
      <c r="W65" s="81"/>
      <c r="X65" s="81"/>
      <c r="Y65" s="81"/>
      <c r="Z65" s="81"/>
    </row>
    <row r="66" ht="15.75" customHeight="1">
      <c r="A66" s="84" t="s">
        <v>146</v>
      </c>
      <c r="B66" s="102">
        <v>0.0</v>
      </c>
      <c r="C66" s="102">
        <v>0.0</v>
      </c>
      <c r="D66" s="102">
        <v>0.0</v>
      </c>
      <c r="E66" s="102">
        <v>0.0</v>
      </c>
      <c r="F66" s="102">
        <f t="shared" ref="F66:S66" si="32">(F45-E45)/E45</f>
        <v>1</v>
      </c>
      <c r="G66" s="102">
        <f t="shared" si="32"/>
        <v>0.5</v>
      </c>
      <c r="H66" s="102">
        <f t="shared" si="32"/>
        <v>0.5720720721</v>
      </c>
      <c r="I66" s="102">
        <f t="shared" si="32"/>
        <v>0.3638968481</v>
      </c>
      <c r="J66" s="102">
        <f t="shared" si="32"/>
        <v>0.2668067227</v>
      </c>
      <c r="K66" s="102">
        <f t="shared" si="32"/>
        <v>0.311774461</v>
      </c>
      <c r="L66" s="102">
        <f t="shared" si="32"/>
        <v>0.2376738306</v>
      </c>
      <c r="M66" s="102">
        <f t="shared" si="32"/>
        <v>0.1920326864</v>
      </c>
      <c r="N66" s="102">
        <f t="shared" si="32"/>
        <v>0.2202227935</v>
      </c>
      <c r="O66" s="102">
        <f t="shared" si="32"/>
        <v>0.1804775281</v>
      </c>
      <c r="P66" s="102">
        <f t="shared" si="32"/>
        <v>0.1528851874</v>
      </c>
      <c r="Q66" s="102">
        <f t="shared" si="32"/>
        <v>0.201754386</v>
      </c>
      <c r="R66" s="102">
        <f t="shared" si="32"/>
        <v>0.1678832117</v>
      </c>
      <c r="S66" s="102">
        <f t="shared" si="32"/>
        <v>0.14375</v>
      </c>
      <c r="T66" s="81"/>
      <c r="U66" s="74">
        <v>399.0</v>
      </c>
      <c r="V66" s="81"/>
      <c r="W66" s="81"/>
      <c r="X66" s="81"/>
      <c r="Y66" s="81"/>
      <c r="Z66" s="81"/>
    </row>
    <row r="67" ht="15.75" customHeight="1">
      <c r="A67" s="84" t="s">
        <v>120</v>
      </c>
      <c r="B67" s="102">
        <v>0.0</v>
      </c>
      <c r="C67" s="102">
        <v>0.0</v>
      </c>
      <c r="D67" s="102" t="str">
        <f>IF(C46=0,"",(D46-C46)/C46)</f>
        <v/>
      </c>
      <c r="E67" s="102">
        <v>0.0</v>
      </c>
      <c r="F67" s="102">
        <f t="shared" ref="F67:S67" si="33">IF(E46=0,"",(F46-E46)/E46)</f>
        <v>0.5</v>
      </c>
      <c r="G67" s="102">
        <f t="shared" si="33"/>
        <v>0.5</v>
      </c>
      <c r="H67" s="102">
        <f t="shared" si="33"/>
        <v>0.5</v>
      </c>
      <c r="I67" s="102">
        <f t="shared" si="33"/>
        <v>0.5</v>
      </c>
      <c r="J67" s="102">
        <f t="shared" si="33"/>
        <v>0.0962962963</v>
      </c>
      <c r="K67" s="102">
        <f t="shared" si="33"/>
        <v>0.09009009009</v>
      </c>
      <c r="L67" s="102">
        <f t="shared" si="33"/>
        <v>0.0826446281</v>
      </c>
      <c r="M67" s="102">
        <f t="shared" si="33"/>
        <v>0.07633587786</v>
      </c>
      <c r="N67" s="102">
        <f t="shared" si="33"/>
        <v>0.07092198582</v>
      </c>
      <c r="O67" s="102">
        <f t="shared" si="33"/>
        <v>0.06622516556</v>
      </c>
      <c r="P67" s="102">
        <f t="shared" si="33"/>
        <v>0.06211180124</v>
      </c>
      <c r="Q67" s="102">
        <f t="shared" si="33"/>
        <v>0.05847953216</v>
      </c>
      <c r="R67" s="102">
        <f t="shared" si="33"/>
        <v>0.05524861878</v>
      </c>
      <c r="S67" s="102">
        <f t="shared" si="33"/>
        <v>0.05235602094</v>
      </c>
      <c r="T67" s="81"/>
      <c r="U67" s="74">
        <v>1499.0</v>
      </c>
      <c r="V67" s="81"/>
      <c r="W67" s="81"/>
      <c r="X67" s="81"/>
      <c r="Y67" s="81"/>
      <c r="Z67" s="81"/>
    </row>
    <row r="68" ht="15.75" customHeight="1">
      <c r="A68" s="84" t="s">
        <v>121</v>
      </c>
      <c r="B68" s="102">
        <v>0.0</v>
      </c>
      <c r="C68" s="102">
        <v>0.0</v>
      </c>
      <c r="D68" s="102">
        <v>0.0</v>
      </c>
      <c r="E68" s="102">
        <v>0.0</v>
      </c>
      <c r="F68" s="102">
        <f t="shared" ref="F68:S68" si="34">IF(E47=0,"",(F47-E47)/E47)</f>
        <v>0.5</v>
      </c>
      <c r="G68" s="102">
        <f t="shared" si="34"/>
        <v>0.5</v>
      </c>
      <c r="H68" s="102">
        <f t="shared" si="34"/>
        <v>0.5</v>
      </c>
      <c r="I68" s="102">
        <f t="shared" si="34"/>
        <v>0.5</v>
      </c>
      <c r="J68" s="102">
        <f t="shared" si="34"/>
        <v>0.5</v>
      </c>
      <c r="K68" s="102">
        <f t="shared" si="34"/>
        <v>0.5</v>
      </c>
      <c r="L68" s="102">
        <f t="shared" si="34"/>
        <v>0.5</v>
      </c>
      <c r="M68" s="102">
        <f t="shared" si="34"/>
        <v>0.5</v>
      </c>
      <c r="N68" s="102">
        <f t="shared" si="34"/>
        <v>0.5</v>
      </c>
      <c r="O68" s="102">
        <f t="shared" si="34"/>
        <v>0.5</v>
      </c>
      <c r="P68" s="102">
        <f t="shared" si="34"/>
        <v>0.5</v>
      </c>
      <c r="Q68" s="102">
        <f t="shared" si="34"/>
        <v>0.5</v>
      </c>
      <c r="R68" s="102">
        <f t="shared" si="34"/>
        <v>0.5</v>
      </c>
      <c r="S68" s="102">
        <f t="shared" si="34"/>
        <v>0.5</v>
      </c>
      <c r="T68" s="81"/>
      <c r="U68" s="74">
        <v>999.0</v>
      </c>
      <c r="V68" s="81"/>
      <c r="W68" s="81"/>
      <c r="X68" s="81"/>
      <c r="Y68" s="81"/>
      <c r="Z68" s="81"/>
    </row>
    <row r="69" ht="15.7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ht="15.7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ht="15.75" customHeight="1">
      <c r="A77" s="74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ht="15.7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ht="15.7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ht="15.7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ht="15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ht="15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ht="15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ht="15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ht="15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ht="15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ht="15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ht="15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ht="15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ht="15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ht="15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ht="15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ht="15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ht="15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ht="15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ht="15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ht="15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ht="15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ht="15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ht="15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ht="15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ht="15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ht="15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ht="15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ht="15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ht="15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ht="15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ht="15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ht="15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ht="15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ht="15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ht="15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25"/>
    <col customWidth="1" min="2" max="2" width="15.75"/>
    <col customWidth="1" min="3" max="3" width="18.13"/>
    <col customWidth="1" min="4" max="4" width="14.0"/>
    <col customWidth="1" min="5" max="5" width="11.75"/>
    <col customWidth="1" min="6" max="6" width="12.5"/>
    <col customWidth="1" min="7" max="9" width="8.5"/>
    <col customWidth="1" min="10" max="10" width="12.13"/>
    <col customWidth="1" min="11" max="12" width="8.5"/>
    <col customWidth="1" min="13" max="13" width="10.75"/>
    <col customWidth="1" min="14" max="14" width="14.13"/>
    <col customWidth="1" min="15" max="15" width="10.75"/>
    <col customWidth="1" min="16" max="16" width="10.0"/>
    <col customWidth="1" min="17" max="17" width="10.75"/>
    <col customWidth="1" min="18" max="18" width="11.63"/>
    <col customWidth="1" min="19" max="20" width="12.38"/>
  </cols>
  <sheetData>
    <row r="1" ht="15.75" customHeight="1">
      <c r="A1" s="103"/>
      <c r="B1" s="103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81"/>
      <c r="V1" s="81"/>
      <c r="W1" s="81"/>
      <c r="X1" s="81"/>
      <c r="Y1" s="81"/>
      <c r="Z1" s="81"/>
      <c r="AA1" s="81"/>
    </row>
    <row r="2" ht="15.75" customHeight="1">
      <c r="A2" s="105" t="s">
        <v>148</v>
      </c>
      <c r="B2" s="105" t="s">
        <v>18</v>
      </c>
      <c r="C2" s="106">
        <f>DATE(YEAR(TODAY()),MONTH(TODAY()),1)</f>
        <v>46054</v>
      </c>
      <c r="D2" s="106">
        <f t="shared" ref="D2:T2" si="1">DATE(YEAR(C2),MONTH(C2)+1,1)</f>
        <v>46082</v>
      </c>
      <c r="E2" s="106">
        <f t="shared" si="1"/>
        <v>46113</v>
      </c>
      <c r="F2" s="106">
        <f t="shared" si="1"/>
        <v>46143</v>
      </c>
      <c r="G2" s="106">
        <f t="shared" si="1"/>
        <v>46174</v>
      </c>
      <c r="H2" s="106">
        <f t="shared" si="1"/>
        <v>46204</v>
      </c>
      <c r="I2" s="106">
        <f t="shared" si="1"/>
        <v>46235</v>
      </c>
      <c r="J2" s="106">
        <f t="shared" si="1"/>
        <v>46266</v>
      </c>
      <c r="K2" s="106">
        <f t="shared" si="1"/>
        <v>46296</v>
      </c>
      <c r="L2" s="106">
        <f t="shared" si="1"/>
        <v>46327</v>
      </c>
      <c r="M2" s="106">
        <f t="shared" si="1"/>
        <v>46357</v>
      </c>
      <c r="N2" s="106">
        <f t="shared" si="1"/>
        <v>46388</v>
      </c>
      <c r="O2" s="106">
        <f t="shared" si="1"/>
        <v>46419</v>
      </c>
      <c r="P2" s="106">
        <f t="shared" si="1"/>
        <v>46447</v>
      </c>
      <c r="Q2" s="106">
        <f t="shared" si="1"/>
        <v>46478</v>
      </c>
      <c r="R2" s="106">
        <f t="shared" si="1"/>
        <v>46508</v>
      </c>
      <c r="S2" s="106">
        <f t="shared" si="1"/>
        <v>46539</v>
      </c>
      <c r="T2" s="106">
        <f t="shared" si="1"/>
        <v>46569</v>
      </c>
      <c r="U2" s="55"/>
      <c r="V2" s="55"/>
      <c r="W2" s="55"/>
      <c r="X2" s="55"/>
      <c r="Y2" s="55"/>
      <c r="Z2" s="55"/>
      <c r="AA2" s="55"/>
    </row>
    <row r="3" ht="16.5" customHeight="1">
      <c r="A3" s="88" t="s">
        <v>149</v>
      </c>
      <c r="B3" s="92">
        <f t="shared" ref="B3:B7" si="3">SUM(C3:T3)</f>
        <v>140266395.6</v>
      </c>
      <c r="C3" s="92">
        <f t="shared" ref="C3:T3" si="2">sum(C4:C7)</f>
        <v>0</v>
      </c>
      <c r="D3" s="92">
        <f t="shared" si="2"/>
        <v>0</v>
      </c>
      <c r="E3" s="92">
        <f t="shared" si="2"/>
        <v>0</v>
      </c>
      <c r="F3" s="92">
        <f t="shared" si="2"/>
        <v>36270.25</v>
      </c>
      <c r="G3" s="92">
        <f t="shared" si="2"/>
        <v>69168.375</v>
      </c>
      <c r="H3" s="92">
        <f t="shared" si="2"/>
        <v>103752.5625</v>
      </c>
      <c r="I3" s="92">
        <f t="shared" si="2"/>
        <v>162012.8438</v>
      </c>
      <c r="J3" s="92">
        <f t="shared" si="2"/>
        <v>224066.7656</v>
      </c>
      <c r="K3" s="92">
        <f t="shared" si="2"/>
        <v>285683.9859</v>
      </c>
      <c r="L3" s="92">
        <f t="shared" si="2"/>
        <v>376419.0289</v>
      </c>
      <c r="M3" s="92">
        <f t="shared" si="2"/>
        <v>474266.0934</v>
      </c>
      <c r="N3" s="92">
        <f t="shared" si="2"/>
        <v>10797181.19</v>
      </c>
      <c r="O3" s="92">
        <f t="shared" si="2"/>
        <v>13358829.34</v>
      </c>
      <c r="P3" s="92">
        <f t="shared" si="2"/>
        <v>15944480.55</v>
      </c>
      <c r="Q3" s="92">
        <f t="shared" si="2"/>
        <v>18566136.38</v>
      </c>
      <c r="R3" s="92">
        <f t="shared" si="2"/>
        <v>22533665.12</v>
      </c>
      <c r="S3" s="92">
        <f t="shared" si="2"/>
        <v>26582204.23</v>
      </c>
      <c r="T3" s="92">
        <f t="shared" si="2"/>
        <v>30752258.89</v>
      </c>
      <c r="U3" s="81"/>
      <c r="V3" s="81"/>
      <c r="W3" s="81"/>
      <c r="X3" s="81"/>
      <c r="Y3" s="81"/>
      <c r="Z3" s="81"/>
      <c r="AA3" s="81"/>
    </row>
    <row r="4" ht="15.75" customHeight="1">
      <c r="A4" s="84" t="s">
        <v>124</v>
      </c>
      <c r="B4" s="92">
        <f t="shared" si="3"/>
        <v>7186788</v>
      </c>
      <c r="C4" s="85">
        <f>'Revenue_User_Waterfall (B2C)'!B50</f>
        <v>0</v>
      </c>
      <c r="D4" s="85">
        <f>'Revenue_User_Waterfall (B2C)'!C50</f>
        <v>0</v>
      </c>
      <c r="E4" s="85">
        <f>'Revenue_User_Waterfall (B2C)'!D50</f>
        <v>0</v>
      </c>
      <c r="F4" s="85">
        <f>'Revenue_User_Waterfall (B2C)'!E50</f>
        <v>29526</v>
      </c>
      <c r="G4" s="85">
        <f>'Revenue_User_Waterfall (B2C)'!F50</f>
        <v>59052</v>
      </c>
      <c r="H4" s="85">
        <f>'Revenue_User_Waterfall (B2C)'!G50</f>
        <v>88578</v>
      </c>
      <c r="I4" s="85">
        <f>'Revenue_User_Waterfall (B2C)'!H50</f>
        <v>139251</v>
      </c>
      <c r="J4" s="85">
        <f>'Revenue_User_Waterfall (B2C)'!I50</f>
        <v>189924</v>
      </c>
      <c r="K4" s="85">
        <f>'Revenue_User_Waterfall (B2C)'!J50</f>
        <v>240597</v>
      </c>
      <c r="L4" s="85">
        <f>'Revenue_User_Waterfall (B2C)'!K50</f>
        <v>315609</v>
      </c>
      <c r="M4" s="85">
        <f>'Revenue_User_Waterfall (B2C)'!L50</f>
        <v>390621</v>
      </c>
      <c r="N4" s="85">
        <f>'Revenue_User_Waterfall (B2C)'!M50</f>
        <v>465633</v>
      </c>
      <c r="O4" s="85">
        <f>'Revenue_User_Waterfall (B2C)'!N50</f>
        <v>568176</v>
      </c>
      <c r="P4" s="85">
        <f>'Revenue_User_Waterfall (B2C)'!O50</f>
        <v>670719</v>
      </c>
      <c r="Q4" s="85">
        <f>'Revenue_User_Waterfall (B2C)'!P50</f>
        <v>773262</v>
      </c>
      <c r="R4" s="85">
        <f>'Revenue_User_Waterfall (B2C)'!Q50</f>
        <v>929271</v>
      </c>
      <c r="S4" s="85">
        <f>'Revenue_User_Waterfall (B2C)'!R50</f>
        <v>1085280</v>
      </c>
      <c r="T4" s="85">
        <f>'Revenue_User_Waterfall (B2C)'!S50</f>
        <v>1241289</v>
      </c>
      <c r="U4" s="74"/>
      <c r="V4" s="81"/>
      <c r="W4" s="81"/>
      <c r="X4" s="81"/>
      <c r="Y4" s="81"/>
      <c r="Z4" s="81"/>
      <c r="AA4" s="81"/>
    </row>
    <row r="5" ht="15.75" customHeight="1">
      <c r="A5" s="84" t="s">
        <v>125</v>
      </c>
      <c r="B5" s="92">
        <f t="shared" si="3"/>
        <v>273380.125</v>
      </c>
      <c r="C5" s="85">
        <f>'Revenue_User_Waterfall (B2C)'!B51</f>
        <v>0</v>
      </c>
      <c r="D5" s="85">
        <f>'Revenue_User_Waterfall (B2C)'!C51</f>
        <v>0</v>
      </c>
      <c r="E5" s="85">
        <f>'Revenue_User_Waterfall (B2C)'!D51</f>
        <v>0</v>
      </c>
      <c r="F5" s="85">
        <f>'Revenue_User_Waterfall (B2C)'!E51</f>
        <v>2998</v>
      </c>
      <c r="G5" s="85">
        <f>'Revenue_User_Waterfall (B2C)'!F51</f>
        <v>4497</v>
      </c>
      <c r="H5" s="85">
        <f>'Revenue_User_Waterfall (B2C)'!G51</f>
        <v>6745.5</v>
      </c>
      <c r="I5" s="85">
        <f>'Revenue_User_Waterfall (B2C)'!H51</f>
        <v>10118.25</v>
      </c>
      <c r="J5" s="85">
        <f>'Revenue_User_Waterfall (B2C)'!I51</f>
        <v>15177.375</v>
      </c>
      <c r="K5" s="85">
        <f>'Revenue_User_Waterfall (B2C)'!J51</f>
        <v>16638.9</v>
      </c>
      <c r="L5" s="85">
        <f>'Revenue_User_Waterfall (B2C)'!K51</f>
        <v>18137.9</v>
      </c>
      <c r="M5" s="85">
        <f>'Revenue_User_Waterfall (B2C)'!L51</f>
        <v>19636.9</v>
      </c>
      <c r="N5" s="85">
        <f>'Revenue_User_Waterfall (B2C)'!M51</f>
        <v>21135.9</v>
      </c>
      <c r="O5" s="85">
        <f>'Revenue_User_Waterfall (B2C)'!N51</f>
        <v>22634.9</v>
      </c>
      <c r="P5" s="85">
        <f>'Revenue_User_Waterfall (B2C)'!O51</f>
        <v>24133.9</v>
      </c>
      <c r="Q5" s="85">
        <f>'Revenue_User_Waterfall (B2C)'!P51</f>
        <v>25632.9</v>
      </c>
      <c r="R5" s="85">
        <f>'Revenue_User_Waterfall (B2C)'!Q51</f>
        <v>27131.9</v>
      </c>
      <c r="S5" s="85">
        <f>'Revenue_User_Waterfall (B2C)'!R51</f>
        <v>28630.9</v>
      </c>
      <c r="T5" s="85">
        <f>'Revenue_User_Waterfall (B2C)'!S51</f>
        <v>30129.9</v>
      </c>
      <c r="U5" s="74"/>
      <c r="V5" s="81"/>
      <c r="W5" s="81"/>
      <c r="X5" s="81"/>
      <c r="Y5" s="81"/>
      <c r="Z5" s="81"/>
      <c r="AA5" s="81"/>
    </row>
    <row r="6" ht="15.75" customHeight="1">
      <c r="A6" s="84" t="s">
        <v>126</v>
      </c>
      <c r="B6" s="92">
        <f t="shared" si="3"/>
        <v>3273427.474</v>
      </c>
      <c r="C6" s="85">
        <f>'Revenue_User_Waterfall (B2C)'!B52</f>
        <v>0</v>
      </c>
      <c r="D6" s="85">
        <f>'Revenue_User_Waterfall (B2C)'!C52</f>
        <v>0</v>
      </c>
      <c r="E6" s="85">
        <f>'Revenue_User_Waterfall (B2C)'!D52</f>
        <v>0</v>
      </c>
      <c r="F6" s="85">
        <f>'Revenue_User_Waterfall (B2C)'!E52</f>
        <v>3746.25</v>
      </c>
      <c r="G6" s="85">
        <f>'Revenue_User_Waterfall (B2C)'!F52</f>
        <v>5619.375</v>
      </c>
      <c r="H6" s="85">
        <f>'Revenue_User_Waterfall (B2C)'!G52</f>
        <v>8429.0625</v>
      </c>
      <c r="I6" s="85">
        <f>'Revenue_User_Waterfall (B2C)'!H52</f>
        <v>12643.59375</v>
      </c>
      <c r="J6" s="85">
        <f>'Revenue_User_Waterfall (B2C)'!I52</f>
        <v>18965.39063</v>
      </c>
      <c r="K6" s="85">
        <f>'Revenue_User_Waterfall (B2C)'!J52</f>
        <v>28448.08594</v>
      </c>
      <c r="L6" s="85">
        <f>'Revenue_User_Waterfall (B2C)'!K52</f>
        <v>42672.12891</v>
      </c>
      <c r="M6" s="85">
        <f>'Revenue_User_Waterfall (B2C)'!L52</f>
        <v>64008.19336</v>
      </c>
      <c r="N6" s="85">
        <f>'Revenue_User_Waterfall (B2C)'!M52</f>
        <v>96012.29004</v>
      </c>
      <c r="O6" s="85">
        <f>'Revenue_User_Waterfall (B2C)'!N52</f>
        <v>144018.4351</v>
      </c>
      <c r="P6" s="85">
        <f>'Revenue_User_Waterfall (B2C)'!O52</f>
        <v>216027.6526</v>
      </c>
      <c r="Q6" s="85">
        <f>'Revenue_User_Waterfall (B2C)'!P52</f>
        <v>324041.4789</v>
      </c>
      <c r="R6" s="85">
        <f>'Revenue_User_Waterfall (B2C)'!Q52</f>
        <v>486062.2183</v>
      </c>
      <c r="S6" s="85">
        <f>'Revenue_User_Waterfall (B2C)'!R52</f>
        <v>729093.3275</v>
      </c>
      <c r="T6" s="85">
        <f>'Revenue_User_Waterfall (B2C)'!S52</f>
        <v>1093639.991</v>
      </c>
      <c r="U6" s="74"/>
      <c r="V6" s="81"/>
      <c r="W6" s="81"/>
      <c r="X6" s="81"/>
      <c r="Y6" s="81"/>
      <c r="Z6" s="81"/>
      <c r="AA6" s="81"/>
    </row>
    <row r="7" ht="15.75" customHeight="1">
      <c r="A7" s="86" t="s">
        <v>127</v>
      </c>
      <c r="B7" s="92">
        <f t="shared" si="3"/>
        <v>129532800</v>
      </c>
      <c r="C7" s="85" t="str">
        <f>'Revenue_User_Waterfall (B2C)'!B53</f>
        <v/>
      </c>
      <c r="D7" s="85" t="str">
        <f>'Revenue_User_Waterfall (B2C)'!C53</f>
        <v/>
      </c>
      <c r="E7" s="85" t="str">
        <f>'Revenue_User_Waterfall (B2C)'!D53</f>
        <v/>
      </c>
      <c r="F7" s="85">
        <f>'Revenue_User_Waterfall (B2C)'!E53</f>
        <v>0</v>
      </c>
      <c r="G7" s="85" t="str">
        <f>'Revenue_User_Waterfall (B2C)'!F53</f>
        <v/>
      </c>
      <c r="H7" s="85" t="str">
        <f>'Revenue_User_Waterfall (B2C)'!G53</f>
        <v/>
      </c>
      <c r="I7" s="85" t="str">
        <f>'Revenue_User_Waterfall (B2C)'!H53</f>
        <v/>
      </c>
      <c r="J7" s="85" t="str">
        <f>'Revenue_User_Waterfall (B2C)'!I53</f>
        <v/>
      </c>
      <c r="K7" s="85" t="str">
        <f>'Revenue_User_Waterfall (B2C)'!J53</f>
        <v/>
      </c>
      <c r="L7" s="85" t="str">
        <f>'Revenue_User_Waterfall (B2C)'!K53</f>
        <v/>
      </c>
      <c r="M7" s="85" t="str">
        <f>'Revenue_User_Waterfall (B2C)'!L53</f>
        <v/>
      </c>
      <c r="N7" s="85">
        <f>'Revenue_User_Waterfall (B2C)'!M53</f>
        <v>10214400</v>
      </c>
      <c r="O7" s="85">
        <f>'Revenue_User_Waterfall (B2C)'!N53</f>
        <v>12624000</v>
      </c>
      <c r="P7" s="85">
        <f>'Revenue_User_Waterfall (B2C)'!O53</f>
        <v>15033600</v>
      </c>
      <c r="Q7" s="85">
        <f>'Revenue_User_Waterfall (B2C)'!P53</f>
        <v>17443200</v>
      </c>
      <c r="R7" s="85">
        <f>'Revenue_User_Waterfall (B2C)'!Q53</f>
        <v>21091200</v>
      </c>
      <c r="S7" s="85">
        <f>'Revenue_User_Waterfall (B2C)'!R53</f>
        <v>24739200</v>
      </c>
      <c r="T7" s="85">
        <f>'Revenue_User_Waterfall (B2C)'!S53</f>
        <v>28387200</v>
      </c>
      <c r="U7" s="81"/>
      <c r="V7" s="81"/>
      <c r="W7" s="81"/>
      <c r="X7" s="81"/>
      <c r="Y7" s="81"/>
      <c r="Z7" s="81"/>
      <c r="AA7" s="81"/>
    </row>
    <row r="8" ht="15.75" customHeight="1">
      <c r="U8" s="81"/>
      <c r="V8" s="81"/>
      <c r="W8" s="81"/>
      <c r="X8" s="81"/>
      <c r="Y8" s="81"/>
      <c r="Z8" s="81"/>
      <c r="AA8" s="81"/>
    </row>
    <row r="9" ht="15.75" customHeight="1">
      <c r="A9" s="97" t="s">
        <v>150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81"/>
      <c r="V9" s="81"/>
      <c r="W9" s="81"/>
      <c r="X9" s="81"/>
      <c r="Y9" s="81"/>
      <c r="Z9" s="81"/>
      <c r="AA9" s="81"/>
    </row>
    <row r="10" ht="15.75" customHeight="1">
      <c r="A10" s="74" t="s">
        <v>151</v>
      </c>
      <c r="B10" s="108">
        <f>SUM(C10:T10)</f>
        <v>55587066.27</v>
      </c>
      <c r="C10" s="108">
        <f t="shared" ref="C10:E10" si="4">C3*0.5</f>
        <v>0</v>
      </c>
      <c r="D10" s="108">
        <f t="shared" si="4"/>
        <v>0</v>
      </c>
      <c r="E10" s="108">
        <f t="shared" si="4"/>
        <v>0</v>
      </c>
      <c r="F10" s="108">
        <f t="shared" ref="F10:M10" si="5">F3*0.1</f>
        <v>3627.025</v>
      </c>
      <c r="G10" s="108">
        <f t="shared" si="5"/>
        <v>6916.8375</v>
      </c>
      <c r="H10" s="108">
        <f t="shared" si="5"/>
        <v>10375.25625</v>
      </c>
      <c r="I10" s="108">
        <f t="shared" si="5"/>
        <v>16201.28438</v>
      </c>
      <c r="J10" s="108">
        <f t="shared" si="5"/>
        <v>22406.67656</v>
      </c>
      <c r="K10" s="108">
        <f t="shared" si="5"/>
        <v>28568.39859</v>
      </c>
      <c r="L10" s="108">
        <f t="shared" si="5"/>
        <v>37641.90289</v>
      </c>
      <c r="M10" s="108">
        <f t="shared" si="5"/>
        <v>47426.60934</v>
      </c>
      <c r="N10" s="108">
        <f t="shared" ref="N10:T10" si="6">N3*0.4</f>
        <v>4318872.476</v>
      </c>
      <c r="O10" s="108">
        <f t="shared" si="6"/>
        <v>5343531.734</v>
      </c>
      <c r="P10" s="108">
        <f t="shared" si="6"/>
        <v>6377792.221</v>
      </c>
      <c r="Q10" s="108">
        <f t="shared" si="6"/>
        <v>7426454.552</v>
      </c>
      <c r="R10" s="108">
        <f t="shared" si="6"/>
        <v>9013466.047</v>
      </c>
      <c r="S10" s="108">
        <f t="shared" si="6"/>
        <v>10632881.69</v>
      </c>
      <c r="T10" s="108">
        <f t="shared" si="6"/>
        <v>12300903.56</v>
      </c>
      <c r="U10" s="81"/>
      <c r="V10" s="81"/>
      <c r="W10" s="81"/>
      <c r="X10" s="81"/>
      <c r="Y10" s="81"/>
      <c r="Z10" s="81"/>
      <c r="AA10" s="81"/>
    </row>
    <row r="11" ht="15.75" customHeight="1">
      <c r="A11" s="109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81"/>
      <c r="V11" s="81"/>
      <c r="W11" s="81"/>
      <c r="X11" s="81"/>
      <c r="Y11" s="81"/>
      <c r="Z11" s="81"/>
      <c r="AA11" s="81"/>
    </row>
    <row r="12" ht="15.75" customHeight="1">
      <c r="A12" s="97" t="s">
        <v>152</v>
      </c>
      <c r="B12" s="107">
        <f>SUM(C12:T12)</f>
        <v>84679329.33</v>
      </c>
      <c r="C12" s="107">
        <f t="shared" ref="C12:T12" si="7">C3-C10</f>
        <v>0</v>
      </c>
      <c r="D12" s="107">
        <f t="shared" si="7"/>
        <v>0</v>
      </c>
      <c r="E12" s="107">
        <f t="shared" si="7"/>
        <v>0</v>
      </c>
      <c r="F12" s="107">
        <f t="shared" si="7"/>
        <v>32643.225</v>
      </c>
      <c r="G12" s="107">
        <f t="shared" si="7"/>
        <v>62251.5375</v>
      </c>
      <c r="H12" s="107">
        <f t="shared" si="7"/>
        <v>93377.30625</v>
      </c>
      <c r="I12" s="107">
        <f t="shared" si="7"/>
        <v>145811.5594</v>
      </c>
      <c r="J12" s="107">
        <f t="shared" si="7"/>
        <v>201660.0891</v>
      </c>
      <c r="K12" s="107">
        <f t="shared" si="7"/>
        <v>257115.5873</v>
      </c>
      <c r="L12" s="107">
        <f t="shared" si="7"/>
        <v>338777.126</v>
      </c>
      <c r="M12" s="107">
        <f t="shared" si="7"/>
        <v>426839.484</v>
      </c>
      <c r="N12" s="107">
        <f t="shared" si="7"/>
        <v>6478308.714</v>
      </c>
      <c r="O12" s="107">
        <f t="shared" si="7"/>
        <v>8015297.601</v>
      </c>
      <c r="P12" s="107">
        <f t="shared" si="7"/>
        <v>9566688.332</v>
      </c>
      <c r="Q12" s="107">
        <f t="shared" si="7"/>
        <v>11139681.83</v>
      </c>
      <c r="R12" s="107">
        <f t="shared" si="7"/>
        <v>13520199.07</v>
      </c>
      <c r="S12" s="107">
        <f t="shared" si="7"/>
        <v>15949322.54</v>
      </c>
      <c r="T12" s="107">
        <f t="shared" si="7"/>
        <v>18451355.33</v>
      </c>
      <c r="U12" s="81"/>
      <c r="V12" s="81"/>
      <c r="W12" s="81"/>
      <c r="X12" s="81"/>
      <c r="Y12" s="81"/>
      <c r="Z12" s="81"/>
      <c r="AA12" s="81"/>
    </row>
    <row r="13" ht="15.75" customHeight="1">
      <c r="A13" s="74" t="s">
        <v>153</v>
      </c>
      <c r="B13" s="110"/>
      <c r="C13" s="111">
        <v>0.0</v>
      </c>
      <c r="D13" s="111">
        <v>0.0</v>
      </c>
      <c r="E13" s="111">
        <v>0.0</v>
      </c>
      <c r="F13" s="110">
        <f t="shared" ref="F13:T13" si="8">F12/F3</f>
        <v>0.9</v>
      </c>
      <c r="G13" s="110">
        <f t="shared" si="8"/>
        <v>0.9</v>
      </c>
      <c r="H13" s="110">
        <f t="shared" si="8"/>
        <v>0.9</v>
      </c>
      <c r="I13" s="110">
        <f t="shared" si="8"/>
        <v>0.9</v>
      </c>
      <c r="J13" s="110">
        <f t="shared" si="8"/>
        <v>0.9</v>
      </c>
      <c r="K13" s="110">
        <f t="shared" si="8"/>
        <v>0.9</v>
      </c>
      <c r="L13" s="110">
        <f t="shared" si="8"/>
        <v>0.9</v>
      </c>
      <c r="M13" s="110">
        <f t="shared" si="8"/>
        <v>0.9</v>
      </c>
      <c r="N13" s="110">
        <f t="shared" si="8"/>
        <v>0.6</v>
      </c>
      <c r="O13" s="110">
        <f t="shared" si="8"/>
        <v>0.6</v>
      </c>
      <c r="P13" s="110">
        <f t="shared" si="8"/>
        <v>0.6</v>
      </c>
      <c r="Q13" s="110">
        <f t="shared" si="8"/>
        <v>0.6</v>
      </c>
      <c r="R13" s="110">
        <f t="shared" si="8"/>
        <v>0.6</v>
      </c>
      <c r="S13" s="110">
        <f t="shared" si="8"/>
        <v>0.6</v>
      </c>
      <c r="T13" s="110">
        <f t="shared" si="8"/>
        <v>0.6</v>
      </c>
      <c r="U13" s="81"/>
      <c r="V13" s="81"/>
      <c r="W13" s="81"/>
      <c r="X13" s="81"/>
      <c r="Y13" s="81"/>
      <c r="Z13" s="81"/>
      <c r="AA13" s="81"/>
    </row>
    <row r="14" ht="15.75" customHeight="1">
      <c r="A14" s="109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81"/>
      <c r="V14" s="81"/>
      <c r="W14" s="81"/>
      <c r="X14" s="81"/>
      <c r="Y14" s="81"/>
      <c r="Z14" s="81"/>
      <c r="AA14" s="81"/>
    </row>
    <row r="15" ht="15.75" customHeight="1">
      <c r="A15" s="97" t="s">
        <v>154</v>
      </c>
      <c r="B15" s="107">
        <f t="shared" ref="B15:T15" si="9">SUM(B16:B18)</f>
        <v>3786987.8</v>
      </c>
      <c r="C15" s="107">
        <f t="shared" si="9"/>
        <v>26089.8</v>
      </c>
      <c r="D15" s="107">
        <f t="shared" si="9"/>
        <v>190089.8</v>
      </c>
      <c r="E15" s="107">
        <f t="shared" si="9"/>
        <v>194089.8</v>
      </c>
      <c r="F15" s="107">
        <f t="shared" si="9"/>
        <v>461891.8</v>
      </c>
      <c r="G15" s="107">
        <f t="shared" si="9"/>
        <v>488384.8</v>
      </c>
      <c r="H15" s="107">
        <f t="shared" si="9"/>
        <v>515532.3</v>
      </c>
      <c r="I15" s="107">
        <f t="shared" si="9"/>
        <v>766509.55</v>
      </c>
      <c r="J15" s="107">
        <f t="shared" si="9"/>
        <v>818959.425</v>
      </c>
      <c r="K15" s="107">
        <f t="shared" si="9"/>
        <v>1068942.138</v>
      </c>
      <c r="L15" s="107">
        <f t="shared" si="9"/>
        <v>1143547.106</v>
      </c>
      <c r="M15" s="107">
        <f t="shared" si="9"/>
        <v>1218778.559</v>
      </c>
      <c r="N15" s="107">
        <f t="shared" si="9"/>
        <v>1768859.939</v>
      </c>
      <c r="O15" s="107">
        <f t="shared" si="9"/>
        <v>2078744.709</v>
      </c>
      <c r="P15" s="107">
        <f t="shared" si="9"/>
        <v>2190743.863</v>
      </c>
      <c r="Q15" s="107">
        <f t="shared" si="9"/>
        <v>2305914.594</v>
      </c>
      <c r="R15" s="107">
        <f t="shared" si="9"/>
        <v>2479586.692</v>
      </c>
      <c r="S15" s="107">
        <f t="shared" si="9"/>
        <v>2660394.837</v>
      </c>
      <c r="T15" s="107">
        <f t="shared" si="9"/>
        <v>2851907.056</v>
      </c>
      <c r="U15" s="81"/>
      <c r="V15" s="81"/>
      <c r="W15" s="81"/>
      <c r="X15" s="81"/>
      <c r="Y15" s="81"/>
      <c r="Z15" s="81"/>
      <c r="AA15" s="81"/>
    </row>
    <row r="16" ht="15.75" customHeight="1">
      <c r="A16" s="27" t="s">
        <v>22</v>
      </c>
      <c r="B16" s="112">
        <f>sum(C16:T16)</f>
        <v>3786987.8</v>
      </c>
      <c r="C16" s="108">
        <f>'Cost_structure (B2C)'!C5</f>
        <v>26089.8</v>
      </c>
      <c r="D16" s="108">
        <f>'Cost_structure (B2C)'!D5</f>
        <v>26089.8</v>
      </c>
      <c r="E16" s="108">
        <f>'Cost_structure (B2C)'!E5</f>
        <v>26089.8</v>
      </c>
      <c r="F16" s="108">
        <f>'Cost_structure (B2C)'!F5</f>
        <v>26089.8</v>
      </c>
      <c r="G16" s="108">
        <f>'Cost_structure (B2C)'!G5</f>
        <v>26089.8</v>
      </c>
      <c r="H16" s="108">
        <f>'Cost_structure (B2C)'!H5</f>
        <v>26089.8</v>
      </c>
      <c r="I16" s="108">
        <f>'Cost_structure (B2C)'!I5</f>
        <v>26089.8</v>
      </c>
      <c r="J16" s="108">
        <f>'Cost_structure (B2C)'!J5</f>
        <v>26089.8</v>
      </c>
      <c r="K16" s="108">
        <f>'Cost_structure (B2C)'!K5</f>
        <v>26089.8</v>
      </c>
      <c r="L16" s="108">
        <f>'Cost_structure (B2C)'!L5</f>
        <v>26089.8</v>
      </c>
      <c r="M16" s="108">
        <f>'Cost_structure (B2C)'!M5</f>
        <v>26089.8</v>
      </c>
      <c r="N16" s="108">
        <f>'Cost_structure (B2C)'!N5</f>
        <v>500000</v>
      </c>
      <c r="O16" s="108">
        <f>'Cost_structure (B2C)'!O5</f>
        <v>500000</v>
      </c>
      <c r="P16" s="108">
        <f>'Cost_structure (B2C)'!P5</f>
        <v>500000</v>
      </c>
      <c r="Q16" s="108">
        <f>'Cost_structure (B2C)'!Q5</f>
        <v>500000</v>
      </c>
      <c r="R16" s="108">
        <f>'Cost_structure (B2C)'!R5</f>
        <v>500000</v>
      </c>
      <c r="S16" s="108">
        <f>'Cost_structure (B2C)'!S5</f>
        <v>500000</v>
      </c>
      <c r="T16" s="108">
        <f>'Cost_structure (B2C)'!T5</f>
        <v>500000</v>
      </c>
      <c r="U16" s="108" t="str">
        <f>'Cost_structure (B2C)'!U5</f>
        <v/>
      </c>
      <c r="V16" s="81"/>
      <c r="W16" s="81"/>
      <c r="X16" s="81"/>
      <c r="Y16" s="81"/>
      <c r="Z16" s="81"/>
      <c r="AA16" s="81"/>
    </row>
    <row r="17" ht="15.75" customHeight="1">
      <c r="A17" s="27" t="s">
        <v>23</v>
      </c>
      <c r="B17" s="74"/>
      <c r="C17" s="108">
        <f>'Cost_structure (B2C)'!C6</f>
        <v>0</v>
      </c>
      <c r="D17" s="108">
        <f>'Cost_structure (B2C)'!D6</f>
        <v>160000</v>
      </c>
      <c r="E17" s="108">
        <f>'Cost_structure (B2C)'!E6</f>
        <v>160000</v>
      </c>
      <c r="F17" s="108">
        <f>'Cost_structure (B2C)'!F6</f>
        <v>400000</v>
      </c>
      <c r="G17" s="108">
        <f>'Cost_structure (B2C)'!G6</f>
        <v>400000</v>
      </c>
      <c r="H17" s="108">
        <f>'Cost_structure (B2C)'!H6</f>
        <v>400000</v>
      </c>
      <c r="I17" s="108">
        <f>'Cost_structure (B2C)'!I6</f>
        <v>600000</v>
      </c>
      <c r="J17" s="108">
        <f>'Cost_structure (B2C)'!J6</f>
        <v>600000</v>
      </c>
      <c r="K17" s="108">
        <f>'Cost_structure (B2C)'!K6</f>
        <v>800000</v>
      </c>
      <c r="L17" s="108">
        <f>'Cost_structure (B2C)'!L6</f>
        <v>800000</v>
      </c>
      <c r="M17" s="108">
        <f>'Cost_structure (B2C)'!M6</f>
        <v>800000</v>
      </c>
      <c r="N17" s="108">
        <f>'Cost_structure (B2C)'!N6</f>
        <v>800000</v>
      </c>
      <c r="O17" s="108">
        <f>'Cost_structure (B2C)'!O6</f>
        <v>1000000</v>
      </c>
      <c r="P17" s="108">
        <f>'Cost_structure (B2C)'!P6</f>
        <v>1000000</v>
      </c>
      <c r="Q17" s="108">
        <f>'Cost_structure (B2C)'!Q6</f>
        <v>1000000</v>
      </c>
      <c r="R17" s="108">
        <f>'Cost_structure (B2C)'!R6</f>
        <v>1000000</v>
      </c>
      <c r="S17" s="108">
        <f>'Cost_structure (B2C)'!S6</f>
        <v>1000000</v>
      </c>
      <c r="T17" s="108">
        <f>'Cost_structure (B2C)'!T6</f>
        <v>1000000</v>
      </c>
      <c r="U17" s="81"/>
      <c r="V17" s="81"/>
      <c r="W17" s="81"/>
      <c r="X17" s="81"/>
      <c r="Y17" s="81"/>
      <c r="Z17" s="81"/>
      <c r="AA17" s="81"/>
    </row>
    <row r="18" ht="15.75" customHeight="1">
      <c r="A18" s="27" t="s">
        <v>24</v>
      </c>
      <c r="B18" s="74"/>
      <c r="C18" s="108">
        <f>'Cost_structure (B2C)'!C7</f>
        <v>0</v>
      </c>
      <c r="D18" s="108">
        <f>'Cost_structure (B2C)'!D7</f>
        <v>4000</v>
      </c>
      <c r="E18" s="108">
        <f>'Cost_structure (B2C)'!E7</f>
        <v>8000</v>
      </c>
      <c r="F18" s="108">
        <f>'Cost_structure (B2C)'!F7</f>
        <v>35802</v>
      </c>
      <c r="G18" s="108">
        <f>'Cost_structure (B2C)'!G7</f>
        <v>62295</v>
      </c>
      <c r="H18" s="108">
        <f>'Cost_structure (B2C)'!H7</f>
        <v>89442.5</v>
      </c>
      <c r="I18" s="108">
        <f>'Cost_structure (B2C)'!I7</f>
        <v>140419.75</v>
      </c>
      <c r="J18" s="108">
        <f>'Cost_structure (B2C)'!J7</f>
        <v>192869.625</v>
      </c>
      <c r="K18" s="108">
        <f>'Cost_structure (B2C)'!K7</f>
        <v>242852.3375</v>
      </c>
      <c r="L18" s="108">
        <f>'Cost_structure (B2C)'!L7</f>
        <v>317457.3063</v>
      </c>
      <c r="M18" s="108">
        <f>'Cost_structure (B2C)'!M7</f>
        <v>392688.7594</v>
      </c>
      <c r="N18" s="108">
        <f>'Cost_structure (B2C)'!N7</f>
        <v>468859.9391</v>
      </c>
      <c r="O18" s="108">
        <f>'Cost_structure (B2C)'!O7</f>
        <v>578744.7086</v>
      </c>
      <c r="P18" s="108">
        <f>'Cost_structure (B2C)'!P7</f>
        <v>690743.8629</v>
      </c>
      <c r="Q18" s="108">
        <f>'Cost_structure (B2C)'!Q7</f>
        <v>805914.5943</v>
      </c>
      <c r="R18" s="108">
        <f>'Cost_structure (B2C)'!R7</f>
        <v>979586.6915</v>
      </c>
      <c r="S18" s="108">
        <f>'Cost_structure (B2C)'!S7</f>
        <v>1160394.837</v>
      </c>
      <c r="T18" s="108">
        <f>'Cost_structure (B2C)'!T7</f>
        <v>1351907.056</v>
      </c>
      <c r="U18" s="81"/>
      <c r="V18" s="81"/>
      <c r="W18" s="81"/>
      <c r="X18" s="81"/>
      <c r="Y18" s="81"/>
      <c r="Z18" s="81"/>
      <c r="AA18" s="81"/>
    </row>
    <row r="19" ht="15.75" customHeight="1">
      <c r="A19" s="27" t="s">
        <v>25</v>
      </c>
      <c r="B19" s="107"/>
      <c r="C19" s="108" t="str">
        <f>'Cost_structure (B2C)'!C8</f>
        <v/>
      </c>
      <c r="D19" s="108" t="str">
        <f>'Cost_structure (B2C)'!D8</f>
        <v/>
      </c>
      <c r="E19" s="108" t="str">
        <f>'Cost_structure (B2C)'!E8</f>
        <v/>
      </c>
      <c r="F19" s="108" t="str">
        <f>'Cost_structure (B2C)'!F8</f>
        <v/>
      </c>
      <c r="G19" s="108" t="str">
        <f>'Cost_structure (B2C)'!G8</f>
        <v/>
      </c>
      <c r="H19" s="108" t="str">
        <f>'Cost_structure (B2C)'!H8</f>
        <v/>
      </c>
      <c r="I19" s="108" t="str">
        <f>'Cost_structure (B2C)'!I8</f>
        <v/>
      </c>
      <c r="J19" s="108" t="str">
        <f>'Cost_structure (B2C)'!J8</f>
        <v/>
      </c>
      <c r="K19" s="108" t="str">
        <f>'Cost_structure (B2C)'!K8</f>
        <v/>
      </c>
      <c r="L19" s="108" t="str">
        <f>'Cost_structure (B2C)'!L8</f>
        <v/>
      </c>
      <c r="M19" s="108">
        <f>'Cost_structure (B2C)'!M8</f>
        <v>5000000</v>
      </c>
      <c r="N19" s="108" t="str">
        <f>'Cost_structure (B2C)'!N8</f>
        <v/>
      </c>
      <c r="O19" s="108" t="str">
        <f>'Cost_structure (B2C)'!O8</f>
        <v/>
      </c>
      <c r="P19" s="108" t="str">
        <f>'Cost_structure (B2C)'!P8</f>
        <v/>
      </c>
      <c r="Q19" s="108" t="str">
        <f>'Cost_structure (B2C)'!Q8</f>
        <v/>
      </c>
      <c r="R19" s="108" t="str">
        <f>'Cost_structure (B2C)'!R8</f>
        <v/>
      </c>
      <c r="S19" s="108" t="str">
        <f>'Cost_structure (B2C)'!S8</f>
        <v/>
      </c>
      <c r="T19" s="108" t="str">
        <f>'Cost_structure (B2C)'!T8</f>
        <v/>
      </c>
      <c r="U19" s="81"/>
      <c r="V19" s="81"/>
      <c r="W19" s="81"/>
      <c r="X19" s="81"/>
      <c r="Y19" s="81"/>
      <c r="Z19" s="81"/>
      <c r="AA19" s="81"/>
    </row>
    <row r="20" ht="15.75" customHeight="1">
      <c r="A20" s="27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81"/>
      <c r="V20" s="81"/>
      <c r="W20" s="81"/>
      <c r="X20" s="81"/>
      <c r="Y20" s="81"/>
      <c r="Z20" s="81"/>
      <c r="AA20" s="81"/>
    </row>
    <row r="21" ht="15.75" customHeight="1">
      <c r="A21" s="97" t="s">
        <v>155</v>
      </c>
      <c r="B21" s="113">
        <f>B12-B15</f>
        <v>80892341.53</v>
      </c>
      <c r="C21" s="97"/>
      <c r="D21" s="97"/>
      <c r="E21" s="97"/>
      <c r="F21" s="113">
        <f t="shared" ref="F21:T21" si="10">(F12-F15)</f>
        <v>-429248.575</v>
      </c>
      <c r="G21" s="113">
        <f t="shared" si="10"/>
        <v>-426133.2625</v>
      </c>
      <c r="H21" s="113">
        <f t="shared" si="10"/>
        <v>-422154.9938</v>
      </c>
      <c r="I21" s="113">
        <f t="shared" si="10"/>
        <v>-620697.9906</v>
      </c>
      <c r="J21" s="113">
        <f t="shared" si="10"/>
        <v>-617299.3359</v>
      </c>
      <c r="K21" s="113">
        <f t="shared" si="10"/>
        <v>-811826.5502</v>
      </c>
      <c r="L21" s="113">
        <f t="shared" si="10"/>
        <v>-804769.9802</v>
      </c>
      <c r="M21" s="113">
        <f t="shared" si="10"/>
        <v>-791939.0754</v>
      </c>
      <c r="N21" s="113">
        <f t="shared" si="10"/>
        <v>4709448.775</v>
      </c>
      <c r="O21" s="113">
        <f t="shared" si="10"/>
        <v>5936552.892</v>
      </c>
      <c r="P21" s="113">
        <f t="shared" si="10"/>
        <v>7375944.469</v>
      </c>
      <c r="Q21" s="113">
        <f t="shared" si="10"/>
        <v>8833767.233</v>
      </c>
      <c r="R21" s="113">
        <f t="shared" si="10"/>
        <v>11040612.38</v>
      </c>
      <c r="S21" s="113">
        <f t="shared" si="10"/>
        <v>13288927.7</v>
      </c>
      <c r="T21" s="113">
        <f t="shared" si="10"/>
        <v>15599448.28</v>
      </c>
      <c r="U21" s="81"/>
      <c r="V21" s="81"/>
      <c r="W21" s="81"/>
      <c r="X21" s="81"/>
      <c r="Y21" s="81"/>
      <c r="Z21" s="81"/>
      <c r="AA21" s="81"/>
    </row>
    <row r="22" ht="15.75" customHeight="1">
      <c r="A22" s="74" t="s">
        <v>156</v>
      </c>
      <c r="B22" s="114">
        <f>B21/B3</f>
        <v>0.5767050703</v>
      </c>
      <c r="C22" s="97"/>
      <c r="D22" s="114"/>
      <c r="E22" s="114"/>
      <c r="F22" s="114">
        <f t="shared" ref="F22:T22" si="11">F21/F3</f>
        <v>-11.83472888</v>
      </c>
      <c r="G22" s="114">
        <f t="shared" si="11"/>
        <v>-6.160810667</v>
      </c>
      <c r="H22" s="114">
        <f t="shared" si="11"/>
        <v>-4.068863299</v>
      </c>
      <c r="I22" s="114">
        <f t="shared" si="11"/>
        <v>-3.831165334</v>
      </c>
      <c r="J22" s="114">
        <f t="shared" si="11"/>
        <v>-2.754979455</v>
      </c>
      <c r="K22" s="114">
        <f t="shared" si="11"/>
        <v>-2.841694285</v>
      </c>
      <c r="L22" s="114">
        <f t="shared" si="11"/>
        <v>-2.137963064</v>
      </c>
      <c r="M22" s="114">
        <f t="shared" si="11"/>
        <v>-1.669820142</v>
      </c>
      <c r="N22" s="114">
        <f t="shared" si="11"/>
        <v>0.4361739135</v>
      </c>
      <c r="O22" s="114">
        <f t="shared" si="11"/>
        <v>0.4443917011</v>
      </c>
      <c r="P22" s="114">
        <f t="shared" si="11"/>
        <v>0.4626017414</v>
      </c>
      <c r="Q22" s="114">
        <f t="shared" si="11"/>
        <v>0.4757999754</v>
      </c>
      <c r="R22" s="114">
        <f t="shared" si="11"/>
        <v>0.4899607907</v>
      </c>
      <c r="S22" s="114">
        <f t="shared" si="11"/>
        <v>0.4999182004</v>
      </c>
      <c r="T22" s="114">
        <f t="shared" si="11"/>
        <v>0.5072618676</v>
      </c>
      <c r="U22" s="81"/>
      <c r="V22" s="81"/>
      <c r="W22" s="81"/>
      <c r="X22" s="81"/>
      <c r="Y22" s="81"/>
      <c r="Z22" s="81"/>
      <c r="AA22" s="81"/>
    </row>
    <row r="23" ht="15.75" customHeight="1">
      <c r="A23" s="81"/>
      <c r="B23" s="114"/>
      <c r="C23" s="114"/>
      <c r="D23" s="114"/>
      <c r="E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81"/>
      <c r="V23" s="81"/>
      <c r="W23" s="81"/>
      <c r="X23" s="81"/>
      <c r="Y23" s="81"/>
      <c r="Z23" s="81"/>
      <c r="AA23" s="81"/>
    </row>
    <row r="24" ht="15.75" customHeight="1">
      <c r="A24" s="97" t="s">
        <v>157</v>
      </c>
      <c r="B24" s="115">
        <f>sum(C24:T24)</f>
        <v>73601830</v>
      </c>
      <c r="C24" s="115"/>
      <c r="D24" s="115"/>
      <c r="E24" s="115"/>
      <c r="F24" s="115">
        <f t="shared" ref="F24:T24" si="12">round(F12-F27,0)</f>
        <v>-247357</v>
      </c>
      <c r="G24" s="115">
        <f t="shared" si="12"/>
        <v>-217748</v>
      </c>
      <c r="H24" s="115">
        <f t="shared" si="12"/>
        <v>-186623</v>
      </c>
      <c r="I24" s="115">
        <f t="shared" si="12"/>
        <v>-314188</v>
      </c>
      <c r="J24" s="115">
        <f t="shared" si="12"/>
        <v>-258340</v>
      </c>
      <c r="K24" s="115">
        <f t="shared" si="12"/>
        <v>-202884</v>
      </c>
      <c r="L24" s="115">
        <f t="shared" si="12"/>
        <v>-351223</v>
      </c>
      <c r="M24" s="115">
        <f t="shared" si="12"/>
        <v>-263161</v>
      </c>
      <c r="N24" s="115">
        <f t="shared" si="12"/>
        <v>5788309</v>
      </c>
      <c r="O24" s="115">
        <f t="shared" si="12"/>
        <v>7130298</v>
      </c>
      <c r="P24" s="115">
        <f t="shared" si="12"/>
        <v>8681688</v>
      </c>
      <c r="Q24" s="115">
        <f t="shared" si="12"/>
        <v>10254682</v>
      </c>
      <c r="R24" s="115">
        <f t="shared" si="12"/>
        <v>12142699</v>
      </c>
      <c r="S24" s="115">
        <f t="shared" si="12"/>
        <v>14571823</v>
      </c>
      <c r="T24" s="115">
        <f t="shared" si="12"/>
        <v>17073855</v>
      </c>
      <c r="U24" s="81"/>
      <c r="V24" s="81"/>
      <c r="W24" s="81"/>
      <c r="X24" s="81"/>
      <c r="Y24" s="81"/>
      <c r="Z24" s="81"/>
      <c r="AA24" s="81"/>
    </row>
    <row r="25" ht="15.75" customHeight="1">
      <c r="A25" s="74" t="s">
        <v>158</v>
      </c>
      <c r="B25" s="102">
        <f>B24/B3</f>
        <v>0.5247288895</v>
      </c>
      <c r="C25" s="102"/>
      <c r="D25" s="102"/>
      <c r="E25" s="102"/>
      <c r="F25" s="102">
        <f t="shared" ref="F25:T25" si="13">F24/F3</f>
        <v>-6.81983168</v>
      </c>
      <c r="G25" s="102">
        <f t="shared" si="13"/>
        <v>-3.148086101</v>
      </c>
      <c r="H25" s="102">
        <f t="shared" si="13"/>
        <v>-1.798731477</v>
      </c>
      <c r="I25" s="102">
        <f t="shared" si="13"/>
        <v>-1.939278348</v>
      </c>
      <c r="J25" s="102">
        <f t="shared" si="13"/>
        <v>-1.152959919</v>
      </c>
      <c r="K25" s="102">
        <f t="shared" si="13"/>
        <v>-0.7101693129</v>
      </c>
      <c r="L25" s="102">
        <f t="shared" si="13"/>
        <v>-0.933063881</v>
      </c>
      <c r="M25" s="102">
        <f t="shared" si="13"/>
        <v>-0.5548804852</v>
      </c>
      <c r="N25" s="102">
        <f t="shared" si="13"/>
        <v>0.5360944582</v>
      </c>
      <c r="O25" s="102">
        <f t="shared" si="13"/>
        <v>0.5337517099</v>
      </c>
      <c r="P25" s="102">
        <f t="shared" si="13"/>
        <v>0.5444948784</v>
      </c>
      <c r="Q25" s="102">
        <f t="shared" si="13"/>
        <v>0.5523325796</v>
      </c>
      <c r="R25" s="102">
        <f t="shared" si="13"/>
        <v>0.5388692401</v>
      </c>
      <c r="S25" s="102">
        <f t="shared" si="13"/>
        <v>0.5481796346</v>
      </c>
      <c r="T25" s="102">
        <f t="shared" si="13"/>
        <v>0.5552065317</v>
      </c>
      <c r="U25" s="81"/>
      <c r="V25" s="81"/>
      <c r="W25" s="81"/>
      <c r="X25" s="81"/>
      <c r="Y25" s="81"/>
      <c r="Z25" s="81"/>
      <c r="AA25" s="81"/>
    </row>
    <row r="26" ht="15.75" customHeight="1">
      <c r="A26" s="97"/>
      <c r="B26" s="114"/>
      <c r="C26" s="114"/>
      <c r="D26" s="114"/>
      <c r="E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81"/>
      <c r="V26" s="81"/>
      <c r="W26" s="81"/>
      <c r="X26" s="81"/>
      <c r="Y26" s="81"/>
      <c r="Z26" s="81"/>
      <c r="AA26" s="81"/>
    </row>
    <row r="27" ht="15.75" customHeight="1">
      <c r="A27" s="83" t="s">
        <v>97</v>
      </c>
      <c r="B27" s="92">
        <f t="shared" ref="B27:T27" si="14">SUM(B28:B31)</f>
        <v>11077500</v>
      </c>
      <c r="C27" s="92">
        <f t="shared" si="14"/>
        <v>0</v>
      </c>
      <c r="D27" s="92">
        <f t="shared" si="14"/>
        <v>0</v>
      </c>
      <c r="E27" s="92">
        <f t="shared" si="14"/>
        <v>0</v>
      </c>
      <c r="F27" s="92">
        <f t="shared" si="14"/>
        <v>280000</v>
      </c>
      <c r="G27" s="92">
        <f t="shared" si="14"/>
        <v>280000</v>
      </c>
      <c r="H27" s="92">
        <f t="shared" si="14"/>
        <v>280000</v>
      </c>
      <c r="I27" s="92">
        <f t="shared" si="14"/>
        <v>460000</v>
      </c>
      <c r="J27" s="92">
        <f t="shared" si="14"/>
        <v>460000</v>
      </c>
      <c r="K27" s="92">
        <f t="shared" si="14"/>
        <v>460000</v>
      </c>
      <c r="L27" s="92">
        <f t="shared" si="14"/>
        <v>690000</v>
      </c>
      <c r="M27" s="92">
        <f t="shared" si="14"/>
        <v>690000</v>
      </c>
      <c r="N27" s="92">
        <f t="shared" si="14"/>
        <v>690000</v>
      </c>
      <c r="O27" s="92">
        <f t="shared" si="14"/>
        <v>885000</v>
      </c>
      <c r="P27" s="92">
        <f t="shared" si="14"/>
        <v>885000</v>
      </c>
      <c r="Q27" s="92">
        <f t="shared" si="14"/>
        <v>885000</v>
      </c>
      <c r="R27" s="92">
        <f t="shared" si="14"/>
        <v>1377500</v>
      </c>
      <c r="S27" s="92">
        <f t="shared" si="14"/>
        <v>1377500</v>
      </c>
      <c r="T27" s="92">
        <f t="shared" si="14"/>
        <v>1377500</v>
      </c>
      <c r="U27" s="81"/>
      <c r="V27" s="81"/>
      <c r="W27" s="81"/>
      <c r="X27" s="81"/>
      <c r="Y27" s="81"/>
      <c r="Z27" s="81"/>
      <c r="AA27" s="81"/>
    </row>
    <row r="28" ht="15.75" customHeight="1">
      <c r="A28" s="84" t="s">
        <v>98</v>
      </c>
      <c r="B28" s="89">
        <f t="shared" ref="B28:B31" si="15">sum(C28:T28)</f>
        <v>1500000</v>
      </c>
      <c r="C28" s="89">
        <f>'Revenue_User_Waterfall (B2C)'!B5</f>
        <v>0</v>
      </c>
      <c r="D28" s="89">
        <f>'Revenue_User_Waterfall (B2C)'!C5</f>
        <v>0</v>
      </c>
      <c r="E28" s="89">
        <f>'Revenue_User_Waterfall (B2C)'!D5</f>
        <v>0</v>
      </c>
      <c r="F28" s="89">
        <f>'Revenue_User_Waterfall (B2C)'!E5</f>
        <v>100000</v>
      </c>
      <c r="G28" s="89">
        <f>'Revenue_User_Waterfall (B2C)'!F5</f>
        <v>100000</v>
      </c>
      <c r="H28" s="89">
        <f>'Revenue_User_Waterfall (B2C)'!G5</f>
        <v>100000</v>
      </c>
      <c r="I28" s="89">
        <f>'Revenue_User_Waterfall (B2C)'!H5</f>
        <v>100000</v>
      </c>
      <c r="J28" s="89">
        <f>'Revenue_User_Waterfall (B2C)'!I5</f>
        <v>100000</v>
      </c>
      <c r="K28" s="89">
        <f>'Revenue_User_Waterfall (B2C)'!J5</f>
        <v>100000</v>
      </c>
      <c r="L28" s="89">
        <f>'Revenue_User_Waterfall (B2C)'!K5</f>
        <v>100000</v>
      </c>
      <c r="M28" s="89">
        <f>'Revenue_User_Waterfall (B2C)'!L5</f>
        <v>100000</v>
      </c>
      <c r="N28" s="89">
        <f>'Revenue_User_Waterfall (B2C)'!M5</f>
        <v>100000</v>
      </c>
      <c r="O28" s="89">
        <f>'Revenue_User_Waterfall (B2C)'!N5</f>
        <v>100000</v>
      </c>
      <c r="P28" s="89">
        <f>'Revenue_User_Waterfall (B2C)'!O5</f>
        <v>100000</v>
      </c>
      <c r="Q28" s="89">
        <f>'Revenue_User_Waterfall (B2C)'!P5</f>
        <v>100000</v>
      </c>
      <c r="R28" s="89">
        <f>'Revenue_User_Waterfall (B2C)'!Q5</f>
        <v>100000</v>
      </c>
      <c r="S28" s="89">
        <f>'Revenue_User_Waterfall (B2C)'!R5</f>
        <v>100000</v>
      </c>
      <c r="T28" s="89">
        <f>'Revenue_User_Waterfall (B2C)'!S5</f>
        <v>100000</v>
      </c>
      <c r="U28" s="81"/>
      <c r="V28" s="81"/>
      <c r="W28" s="81"/>
      <c r="X28" s="81"/>
      <c r="Y28" s="81"/>
      <c r="Z28" s="81"/>
      <c r="AA28" s="81"/>
    </row>
    <row r="29" ht="15.75" customHeight="1">
      <c r="A29" s="84" t="s">
        <v>100</v>
      </c>
      <c r="B29" s="89">
        <f t="shared" si="15"/>
        <v>2850000</v>
      </c>
      <c r="C29" s="89">
        <f>'Revenue_User_Waterfall (B2C)'!B6</f>
        <v>0</v>
      </c>
      <c r="D29" s="89">
        <f>'Revenue_User_Waterfall (B2C)'!C6</f>
        <v>0</v>
      </c>
      <c r="E29" s="89">
        <f>'Revenue_User_Waterfall (B2C)'!D6</f>
        <v>0</v>
      </c>
      <c r="F29" s="89">
        <f>'Revenue_User_Waterfall (B2C)'!E6</f>
        <v>50000</v>
      </c>
      <c r="G29" s="89">
        <f>'Revenue_User_Waterfall (B2C)'!F6</f>
        <v>50000</v>
      </c>
      <c r="H29" s="89">
        <f>'Revenue_User_Waterfall (B2C)'!G6</f>
        <v>50000</v>
      </c>
      <c r="I29" s="89">
        <f>'Revenue_User_Waterfall (B2C)'!H6</f>
        <v>100000</v>
      </c>
      <c r="J29" s="89">
        <f>'Revenue_User_Waterfall (B2C)'!I6</f>
        <v>100000</v>
      </c>
      <c r="K29" s="89">
        <f>'Revenue_User_Waterfall (B2C)'!J6</f>
        <v>100000</v>
      </c>
      <c r="L29" s="89">
        <f>'Revenue_User_Waterfall (B2C)'!K6</f>
        <v>200000</v>
      </c>
      <c r="M29" s="89">
        <f>'Revenue_User_Waterfall (B2C)'!L6</f>
        <v>200000</v>
      </c>
      <c r="N29" s="89">
        <f>'Revenue_User_Waterfall (B2C)'!M6</f>
        <v>200000</v>
      </c>
      <c r="O29" s="89">
        <f>'Revenue_User_Waterfall (B2C)'!N6</f>
        <v>200000</v>
      </c>
      <c r="P29" s="89">
        <f>'Revenue_User_Waterfall (B2C)'!O6</f>
        <v>200000</v>
      </c>
      <c r="Q29" s="89">
        <f>'Revenue_User_Waterfall (B2C)'!P6</f>
        <v>200000</v>
      </c>
      <c r="R29" s="89">
        <f>'Revenue_User_Waterfall (B2C)'!Q6</f>
        <v>400000</v>
      </c>
      <c r="S29" s="89">
        <f>'Revenue_User_Waterfall (B2C)'!R6</f>
        <v>400000</v>
      </c>
      <c r="T29" s="89">
        <f>'Revenue_User_Waterfall (B2C)'!S6</f>
        <v>400000</v>
      </c>
      <c r="U29" s="81"/>
      <c r="V29" s="81"/>
      <c r="W29" s="81"/>
      <c r="X29" s="81"/>
      <c r="Y29" s="81"/>
      <c r="Z29" s="81"/>
      <c r="AA29" s="81"/>
    </row>
    <row r="30" ht="15.75" customHeight="1">
      <c r="A30" s="84" t="s">
        <v>102</v>
      </c>
      <c r="B30" s="89">
        <f t="shared" si="15"/>
        <v>5175000</v>
      </c>
      <c r="C30" s="89">
        <f>'Revenue_User_Waterfall (B2C)'!B7</f>
        <v>0</v>
      </c>
      <c r="D30" s="89">
        <f>'Revenue_User_Waterfall (B2C)'!C7</f>
        <v>0</v>
      </c>
      <c r="E30" s="89">
        <f>'Revenue_User_Waterfall (B2C)'!D7</f>
        <v>0</v>
      </c>
      <c r="F30" s="89">
        <f>'Revenue_User_Waterfall (B2C)'!E7</f>
        <v>100000</v>
      </c>
      <c r="G30" s="89">
        <f>'Revenue_User_Waterfall (B2C)'!F7</f>
        <v>100000</v>
      </c>
      <c r="H30" s="89">
        <f>'Revenue_User_Waterfall (B2C)'!G7</f>
        <v>100000</v>
      </c>
      <c r="I30" s="89">
        <f>'Revenue_User_Waterfall (B2C)'!H7</f>
        <v>200000</v>
      </c>
      <c r="J30" s="89">
        <f>'Revenue_User_Waterfall (B2C)'!I7</f>
        <v>200000</v>
      </c>
      <c r="K30" s="89">
        <f>'Revenue_User_Waterfall (B2C)'!J7</f>
        <v>200000</v>
      </c>
      <c r="L30" s="89">
        <f>'Revenue_User_Waterfall (B2C)'!K7</f>
        <v>300000</v>
      </c>
      <c r="M30" s="89">
        <f>'Revenue_User_Waterfall (B2C)'!L7</f>
        <v>300000</v>
      </c>
      <c r="N30" s="89">
        <f>'Revenue_User_Waterfall (B2C)'!M7</f>
        <v>300000</v>
      </c>
      <c r="O30" s="89">
        <f>'Revenue_User_Waterfall (B2C)'!N7</f>
        <v>450000</v>
      </c>
      <c r="P30" s="89">
        <f>'Revenue_User_Waterfall (B2C)'!O7</f>
        <v>450000</v>
      </c>
      <c r="Q30" s="89">
        <f>'Revenue_User_Waterfall (B2C)'!P7</f>
        <v>450000</v>
      </c>
      <c r="R30" s="89">
        <f>'Revenue_User_Waterfall (B2C)'!Q7</f>
        <v>675000</v>
      </c>
      <c r="S30" s="89">
        <f>'Revenue_User_Waterfall (B2C)'!R7</f>
        <v>675000</v>
      </c>
      <c r="T30" s="89">
        <f>'Revenue_User_Waterfall (B2C)'!S7</f>
        <v>675000</v>
      </c>
      <c r="U30" s="81"/>
      <c r="V30" s="81"/>
      <c r="W30" s="81"/>
      <c r="X30" s="81"/>
      <c r="Y30" s="81"/>
      <c r="Z30" s="81"/>
      <c r="AA30" s="81"/>
    </row>
    <row r="31" ht="15.75" customHeight="1">
      <c r="A31" s="86" t="s">
        <v>104</v>
      </c>
      <c r="B31" s="89">
        <f t="shared" si="15"/>
        <v>1552500</v>
      </c>
      <c r="C31" s="89">
        <f>'Revenue_User_Waterfall (B2C)'!B8</f>
        <v>0</v>
      </c>
      <c r="D31" s="89">
        <f>'Revenue_User_Waterfall (B2C)'!C8</f>
        <v>0</v>
      </c>
      <c r="E31" s="89">
        <f>'Revenue_User_Waterfall (B2C)'!D8</f>
        <v>0</v>
      </c>
      <c r="F31" s="81">
        <f>'Revenue_User_Waterfall (B2C)'!E8</f>
        <v>30000</v>
      </c>
      <c r="G31" s="81">
        <f>'Revenue_User_Waterfall (B2C)'!F8</f>
        <v>30000</v>
      </c>
      <c r="H31" s="81">
        <f>'Revenue_User_Waterfall (B2C)'!G8</f>
        <v>30000</v>
      </c>
      <c r="I31" s="81">
        <f>'Revenue_User_Waterfall (B2C)'!H8</f>
        <v>60000</v>
      </c>
      <c r="J31" s="81">
        <f>'Revenue_User_Waterfall (B2C)'!I8</f>
        <v>60000</v>
      </c>
      <c r="K31" s="81">
        <f>'Revenue_User_Waterfall (B2C)'!J8</f>
        <v>60000</v>
      </c>
      <c r="L31" s="81">
        <f>'Revenue_User_Waterfall (B2C)'!K8</f>
        <v>90000</v>
      </c>
      <c r="M31" s="81">
        <f>'Revenue_User_Waterfall (B2C)'!L8</f>
        <v>90000</v>
      </c>
      <c r="N31" s="81">
        <f>'Revenue_User_Waterfall (B2C)'!M8</f>
        <v>90000</v>
      </c>
      <c r="O31" s="81">
        <f>'Revenue_User_Waterfall (B2C)'!N8</f>
        <v>135000</v>
      </c>
      <c r="P31" s="81">
        <f>'Revenue_User_Waterfall (B2C)'!O8</f>
        <v>135000</v>
      </c>
      <c r="Q31" s="81">
        <f>'Revenue_User_Waterfall (B2C)'!P8</f>
        <v>135000</v>
      </c>
      <c r="R31" s="81">
        <f>'Revenue_User_Waterfall (B2C)'!Q8</f>
        <v>202500</v>
      </c>
      <c r="S31" s="81">
        <f>'Revenue_User_Waterfall (B2C)'!R8</f>
        <v>202500</v>
      </c>
      <c r="T31" s="81">
        <f>'Revenue_User_Waterfall (B2C)'!S8</f>
        <v>202500</v>
      </c>
      <c r="U31" s="81"/>
      <c r="V31" s="81"/>
      <c r="W31" s="81"/>
      <c r="X31" s="81"/>
      <c r="Y31" s="81"/>
      <c r="Z31" s="81"/>
      <c r="AA31" s="81"/>
    </row>
    <row r="32" ht="15.75" customHeight="1">
      <c r="A32" s="81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81"/>
      <c r="V32" s="81"/>
      <c r="W32" s="81"/>
      <c r="X32" s="81"/>
      <c r="Y32" s="81"/>
      <c r="Z32" s="81"/>
      <c r="AA32" s="81"/>
    </row>
    <row r="33" ht="15.75" customHeight="1">
      <c r="A33" s="88" t="s">
        <v>159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81"/>
      <c r="V33" s="81"/>
      <c r="W33" s="81"/>
      <c r="X33" s="81"/>
      <c r="Y33" s="81"/>
      <c r="Z33" s="81"/>
      <c r="AA33" s="81"/>
    </row>
    <row r="34" ht="15.75" customHeight="1">
      <c r="A34" s="84" t="s">
        <v>98</v>
      </c>
      <c r="B34" s="110"/>
      <c r="C34" s="110">
        <f t="shared" ref="C34:T34" si="16">IFERROR(C28/C3,0)
</f>
        <v>0</v>
      </c>
      <c r="D34" s="110">
        <f t="shared" si="16"/>
        <v>0</v>
      </c>
      <c r="E34" s="110">
        <f t="shared" si="16"/>
        <v>0</v>
      </c>
      <c r="F34" s="110">
        <f t="shared" si="16"/>
        <v>2.757080527</v>
      </c>
      <c r="G34" s="110">
        <f t="shared" si="16"/>
        <v>1.445747424</v>
      </c>
      <c r="H34" s="110">
        <f t="shared" si="16"/>
        <v>0.9638316162</v>
      </c>
      <c r="I34" s="110">
        <f t="shared" si="16"/>
        <v>0.6172350147</v>
      </c>
      <c r="J34" s="110">
        <f t="shared" si="16"/>
        <v>0.4462955482</v>
      </c>
      <c r="K34" s="110">
        <f t="shared" si="16"/>
        <v>0.3500371212</v>
      </c>
      <c r="L34" s="110">
        <f t="shared" si="16"/>
        <v>0.2656613835</v>
      </c>
      <c r="M34" s="110">
        <f t="shared" si="16"/>
        <v>0.2108520963</v>
      </c>
      <c r="N34" s="110">
        <f t="shared" si="16"/>
        <v>0.009261676565</v>
      </c>
      <c r="O34" s="110">
        <f t="shared" si="16"/>
        <v>0.007485685871</v>
      </c>
      <c r="P34" s="110">
        <f t="shared" si="16"/>
        <v>0.0062717628</v>
      </c>
      <c r="Q34" s="110">
        <f t="shared" si="16"/>
        <v>0.005386150245</v>
      </c>
      <c r="R34" s="110">
        <f t="shared" si="16"/>
        <v>0.004437804479</v>
      </c>
      <c r="S34" s="110">
        <f t="shared" si="16"/>
        <v>0.00376191527</v>
      </c>
      <c r="T34" s="110">
        <f t="shared" si="16"/>
        <v>0.003251793644</v>
      </c>
      <c r="U34" s="81"/>
      <c r="V34" s="81"/>
      <c r="W34" s="81"/>
      <c r="X34" s="81"/>
      <c r="Y34" s="81"/>
      <c r="Z34" s="81"/>
      <c r="AA34" s="81"/>
    </row>
    <row r="35" ht="15.75" customHeight="1">
      <c r="A35" s="84" t="s">
        <v>100</v>
      </c>
      <c r="B35" s="114"/>
      <c r="C35" s="114">
        <f t="shared" ref="C35:T35" si="17">IFERROR(C29/C4,0)
</f>
        <v>0</v>
      </c>
      <c r="D35" s="114">
        <f t="shared" si="17"/>
        <v>0</v>
      </c>
      <c r="E35" s="114">
        <f t="shared" si="17"/>
        <v>0</v>
      </c>
      <c r="F35" s="114">
        <f t="shared" si="17"/>
        <v>1.693422746</v>
      </c>
      <c r="G35" s="114">
        <f t="shared" si="17"/>
        <v>0.846711373</v>
      </c>
      <c r="H35" s="114">
        <f t="shared" si="17"/>
        <v>0.5644742487</v>
      </c>
      <c r="I35" s="114">
        <f t="shared" si="17"/>
        <v>0.7181276975</v>
      </c>
      <c r="J35" s="114">
        <f t="shared" si="17"/>
        <v>0.5265264</v>
      </c>
      <c r="K35" s="114">
        <f t="shared" si="17"/>
        <v>0.4156327801</v>
      </c>
      <c r="L35" s="114">
        <f t="shared" si="17"/>
        <v>0.6336954903</v>
      </c>
      <c r="M35" s="114">
        <f t="shared" si="17"/>
        <v>0.5120052429</v>
      </c>
      <c r="N35" s="114">
        <f t="shared" si="17"/>
        <v>0.4295228216</v>
      </c>
      <c r="O35" s="114">
        <f t="shared" si="17"/>
        <v>0.3520036045</v>
      </c>
      <c r="P35" s="114">
        <f t="shared" si="17"/>
        <v>0.2981874675</v>
      </c>
      <c r="Q35" s="114">
        <f t="shared" si="17"/>
        <v>0.2586445474</v>
      </c>
      <c r="R35" s="114">
        <f t="shared" si="17"/>
        <v>0.4304449402</v>
      </c>
      <c r="S35" s="114">
        <f t="shared" si="17"/>
        <v>0.36856848</v>
      </c>
      <c r="T35" s="114">
        <f t="shared" si="17"/>
        <v>0.3222456656</v>
      </c>
      <c r="U35" s="81"/>
      <c r="V35" s="81"/>
      <c r="W35" s="81"/>
      <c r="X35" s="81"/>
      <c r="Y35" s="81"/>
      <c r="Z35" s="81"/>
      <c r="AA35" s="81"/>
    </row>
    <row r="36" ht="15.75" customHeight="1">
      <c r="A36" s="84" t="s">
        <v>102</v>
      </c>
      <c r="B36" s="114"/>
      <c r="C36" s="114">
        <f t="shared" ref="C36:T36" si="18">IFERROR(C30/C5,0)
</f>
        <v>0</v>
      </c>
      <c r="D36" s="114">
        <f t="shared" si="18"/>
        <v>0</v>
      </c>
      <c r="E36" s="114">
        <f t="shared" si="18"/>
        <v>0</v>
      </c>
      <c r="F36" s="114">
        <f t="shared" si="18"/>
        <v>33.35557038</v>
      </c>
      <c r="G36" s="114">
        <f t="shared" si="18"/>
        <v>22.23704692</v>
      </c>
      <c r="H36" s="114">
        <f t="shared" si="18"/>
        <v>14.82469795</v>
      </c>
      <c r="I36" s="114">
        <f t="shared" si="18"/>
        <v>19.76626393</v>
      </c>
      <c r="J36" s="114">
        <f t="shared" si="18"/>
        <v>13.17750929</v>
      </c>
      <c r="K36" s="114">
        <f t="shared" si="18"/>
        <v>12.02002536</v>
      </c>
      <c r="L36" s="114">
        <f t="shared" si="18"/>
        <v>16.53995225</v>
      </c>
      <c r="M36" s="114">
        <f t="shared" si="18"/>
        <v>15.27736048</v>
      </c>
      <c r="N36" s="114">
        <f t="shared" si="18"/>
        <v>14.19385974</v>
      </c>
      <c r="O36" s="114">
        <f t="shared" si="18"/>
        <v>19.88080354</v>
      </c>
      <c r="P36" s="114">
        <f t="shared" si="18"/>
        <v>18.64597102</v>
      </c>
      <c r="Q36" s="114">
        <f t="shared" si="18"/>
        <v>17.55556336</v>
      </c>
      <c r="R36" s="114">
        <f t="shared" si="18"/>
        <v>24.8784641</v>
      </c>
      <c r="S36" s="114">
        <f t="shared" si="18"/>
        <v>23.57592671</v>
      </c>
      <c r="T36" s="114">
        <f t="shared" si="18"/>
        <v>22.40299503</v>
      </c>
      <c r="U36" s="81"/>
      <c r="V36" s="81"/>
      <c r="W36" s="81"/>
      <c r="X36" s="81"/>
      <c r="Y36" s="81"/>
      <c r="Z36" s="81"/>
      <c r="AA36" s="81"/>
    </row>
    <row r="37" ht="15.75" customHeight="1">
      <c r="A37" s="86" t="s">
        <v>104</v>
      </c>
      <c r="B37" s="114"/>
      <c r="C37" s="114">
        <f t="shared" ref="C37:T37" si="19">IFERROR(C31/C6,0)
</f>
        <v>0</v>
      </c>
      <c r="D37" s="114">
        <f t="shared" si="19"/>
        <v>0</v>
      </c>
      <c r="E37" s="114">
        <f t="shared" si="19"/>
        <v>0</v>
      </c>
      <c r="F37" s="114">
        <f t="shared" si="19"/>
        <v>8.008008008</v>
      </c>
      <c r="G37" s="114">
        <f t="shared" si="19"/>
        <v>5.338672005</v>
      </c>
      <c r="H37" s="114">
        <f t="shared" si="19"/>
        <v>3.55911467</v>
      </c>
      <c r="I37" s="114">
        <f t="shared" si="19"/>
        <v>4.745486227</v>
      </c>
      <c r="J37" s="114">
        <f t="shared" si="19"/>
        <v>3.163657485</v>
      </c>
      <c r="K37" s="114">
        <f t="shared" si="19"/>
        <v>2.10910499</v>
      </c>
      <c r="L37" s="114">
        <f t="shared" si="19"/>
        <v>2.10910499</v>
      </c>
      <c r="M37" s="114">
        <f t="shared" si="19"/>
        <v>1.406069993</v>
      </c>
      <c r="N37" s="114">
        <f t="shared" si="19"/>
        <v>0.9373799955</v>
      </c>
      <c r="O37" s="114">
        <f t="shared" si="19"/>
        <v>0.9373799955</v>
      </c>
      <c r="P37" s="114">
        <f t="shared" si="19"/>
        <v>0.624919997</v>
      </c>
      <c r="Q37" s="114">
        <f t="shared" si="19"/>
        <v>0.4166133313</v>
      </c>
      <c r="R37" s="114">
        <f t="shared" si="19"/>
        <v>0.4166133313</v>
      </c>
      <c r="S37" s="114">
        <f t="shared" si="19"/>
        <v>0.2777422209</v>
      </c>
      <c r="T37" s="114">
        <f t="shared" si="19"/>
        <v>0.1851614806</v>
      </c>
      <c r="U37" s="81"/>
      <c r="V37" s="81"/>
      <c r="W37" s="81"/>
      <c r="X37" s="81"/>
      <c r="Y37" s="81"/>
      <c r="Z37" s="81"/>
      <c r="AA37" s="81"/>
    </row>
    <row r="38" ht="15.75" customHeight="1">
      <c r="A38" s="109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81"/>
      <c r="V38" s="81"/>
      <c r="W38" s="81"/>
      <c r="X38" s="81"/>
      <c r="Y38" s="81"/>
      <c r="Z38" s="81"/>
      <c r="AA38" s="81"/>
    </row>
    <row r="39" ht="15.75" customHeight="1">
      <c r="A39" s="97" t="s">
        <v>160</v>
      </c>
      <c r="B39" s="107">
        <f t="shared" ref="B39:T39" si="20">SUM(B40:B42)</f>
        <v>9551308</v>
      </c>
      <c r="C39" s="107">
        <f t="shared" si="20"/>
        <v>100000</v>
      </c>
      <c r="D39" s="107">
        <f t="shared" si="20"/>
        <v>300000</v>
      </c>
      <c r="E39" s="107">
        <f t="shared" si="20"/>
        <v>400000</v>
      </c>
      <c r="F39" s="107">
        <f t="shared" si="20"/>
        <v>400000</v>
      </c>
      <c r="G39" s="107">
        <f t="shared" si="20"/>
        <v>510000</v>
      </c>
      <c r="H39" s="107">
        <f t="shared" si="20"/>
        <v>515000</v>
      </c>
      <c r="I39" s="107">
        <f t="shared" si="20"/>
        <v>515000</v>
      </c>
      <c r="J39" s="107">
        <f t="shared" si="20"/>
        <v>527000</v>
      </c>
      <c r="K39" s="107">
        <f t="shared" si="20"/>
        <v>572250</v>
      </c>
      <c r="L39" s="107">
        <f t="shared" si="20"/>
        <v>572250</v>
      </c>
      <c r="M39" s="107">
        <f t="shared" si="20"/>
        <v>586650</v>
      </c>
      <c r="N39" s="107">
        <f t="shared" si="20"/>
        <v>607162</v>
      </c>
      <c r="O39" s="107">
        <f t="shared" si="20"/>
        <v>607162</v>
      </c>
      <c r="P39" s="107">
        <f t="shared" si="20"/>
        <v>624442</v>
      </c>
      <c r="Q39" s="107">
        <f t="shared" si="20"/>
        <v>668230</v>
      </c>
      <c r="R39" s="107">
        <f t="shared" si="20"/>
        <v>668230</v>
      </c>
      <c r="S39" s="107">
        <f t="shared" si="20"/>
        <v>688966</v>
      </c>
      <c r="T39" s="107">
        <f t="shared" si="20"/>
        <v>688966</v>
      </c>
      <c r="U39" s="81"/>
      <c r="V39" s="81"/>
      <c r="W39" s="81"/>
      <c r="X39" s="81"/>
      <c r="Y39" s="81"/>
      <c r="Z39" s="81"/>
      <c r="AA39" s="81"/>
    </row>
    <row r="40" ht="15.75" customHeight="1">
      <c r="A40" s="74" t="s">
        <v>161</v>
      </c>
      <c r="B40" s="108">
        <f t="shared" ref="B40:B42" si="21">sum(C40:T40)</f>
        <v>3305000</v>
      </c>
      <c r="C40" s="108">
        <f>SUM('Cost_structure (B2C)'!C$15:C$16)</f>
        <v>100000</v>
      </c>
      <c r="D40" s="108">
        <f>SUM('Cost_structure (B2C)'!D$15:D$16)</f>
        <v>100000</v>
      </c>
      <c r="E40" s="108">
        <f>SUM('Cost_structure (B2C)'!E$15:E$16)</f>
        <v>100000</v>
      </c>
      <c r="F40" s="108">
        <f>SUM('Cost_structure (B2C)'!F$15:F$16)</f>
        <v>100000</v>
      </c>
      <c r="G40" s="108">
        <f>SUM('Cost_structure (B2C)'!G$15:G$16)</f>
        <v>200000</v>
      </c>
      <c r="H40" s="108">
        <f>SUM('Cost_structure (B2C)'!H$15:H$16)</f>
        <v>200000</v>
      </c>
      <c r="I40" s="108">
        <f>SUM('Cost_structure (B2C)'!I$15:I$16)</f>
        <v>200000</v>
      </c>
      <c r="J40" s="108">
        <f>SUM('Cost_structure (B2C)'!J$15:J$16)</f>
        <v>200000</v>
      </c>
      <c r="K40" s="108">
        <f>SUM('Cost_structure (B2C)'!K$15:K$16)</f>
        <v>200000</v>
      </c>
      <c r="L40" s="108">
        <f>SUM('Cost_structure (B2C)'!L$15:L$16)</f>
        <v>200000</v>
      </c>
      <c r="M40" s="108">
        <f>SUM('Cost_structure (B2C)'!M$15:M$16)</f>
        <v>200000</v>
      </c>
      <c r="N40" s="108">
        <f>SUM('Cost_structure (B2C)'!N$15:N$16)</f>
        <v>215000</v>
      </c>
      <c r="O40" s="108">
        <f>SUM('Cost_structure (B2C)'!O$15:O$16)</f>
        <v>215000</v>
      </c>
      <c r="P40" s="108">
        <f>SUM('Cost_structure (B2C)'!P$15:P$16)</f>
        <v>215000</v>
      </c>
      <c r="Q40" s="108">
        <f>SUM('Cost_structure (B2C)'!Q$15:Q$16)</f>
        <v>215000</v>
      </c>
      <c r="R40" s="108">
        <f>SUM('Cost_structure (B2C)'!R$15:R$16)</f>
        <v>215000</v>
      </c>
      <c r="S40" s="108">
        <f>SUM('Cost_structure (B2C)'!S$15:S$16)</f>
        <v>215000</v>
      </c>
      <c r="T40" s="108">
        <f>SUM('Cost_structure (B2C)'!T$15:T$16)</f>
        <v>215000</v>
      </c>
      <c r="U40" s="108"/>
      <c r="V40" s="81"/>
      <c r="W40" s="81"/>
      <c r="X40" s="81"/>
      <c r="Y40" s="81"/>
      <c r="Z40" s="81"/>
      <c r="AA40" s="81"/>
    </row>
    <row r="41" ht="15.75" customHeight="1">
      <c r="A41" s="74" t="s">
        <v>162</v>
      </c>
      <c r="B41" s="108">
        <f t="shared" si="21"/>
        <v>4467072</v>
      </c>
      <c r="C41" s="108">
        <f>SUM(
  'Cost_structure (B2C)'!C$19,
  'Cost_structure (B2C)'!C$20,
  'Cost_structure (B2C)'!C$22
)
</f>
        <v>0</v>
      </c>
      <c r="D41" s="108">
        <f>SUM(
  'Cost_structure (B2C)'!D$19,
  'Cost_structure (B2C)'!D$20,
  'Cost_structure (B2C)'!D$22
)
</f>
        <v>200000</v>
      </c>
      <c r="E41" s="108">
        <f>SUM(
  'Cost_structure (B2C)'!E$19,
  'Cost_structure (B2C)'!E$20,
  'Cost_structure (B2C)'!E$22
)
</f>
        <v>200000</v>
      </c>
      <c r="F41" s="108">
        <f>SUM(
  'Cost_structure (B2C)'!F$19,
  'Cost_structure (B2C)'!F$20,
  'Cost_structure (B2C)'!F$22
)
</f>
        <v>200000</v>
      </c>
      <c r="G41" s="108">
        <f>SUM(
  'Cost_structure (B2C)'!G$19,
  'Cost_structure (B2C)'!G$20,
  'Cost_structure (B2C)'!G$22
)
</f>
        <v>210000</v>
      </c>
      <c r="H41" s="108">
        <f>SUM(
  'Cost_structure (B2C)'!H$19,
  'Cost_structure (B2C)'!H$20,
  'Cost_structure (B2C)'!H$22
)
</f>
        <v>210000</v>
      </c>
      <c r="I41" s="108">
        <f>SUM(
  'Cost_structure (B2C)'!I$19,
  'Cost_structure (B2C)'!I$20,
  'Cost_structure (B2C)'!I$22
)
</f>
        <v>210000</v>
      </c>
      <c r="J41" s="108">
        <f>SUM(
  'Cost_structure (B2C)'!J$19,
  'Cost_structure (B2C)'!J$20,
  'Cost_structure (B2C)'!J$22
)
</f>
        <v>222000</v>
      </c>
      <c r="K41" s="108">
        <f>SUM(
  'Cost_structure (B2C)'!K$19,
  'Cost_structure (B2C)'!K$20,
  'Cost_structure (B2C)'!K$22
)
</f>
        <v>262000</v>
      </c>
      <c r="L41" s="108">
        <f>SUM(
  'Cost_structure (B2C)'!L$19,
  'Cost_structure (B2C)'!L$20,
  'Cost_structure (B2C)'!L$22
)
</f>
        <v>262000</v>
      </c>
      <c r="M41" s="108">
        <f>SUM(
  'Cost_structure (B2C)'!M$19,
  'Cost_structure (B2C)'!M$20,
  'Cost_structure (B2C)'!M$22
)
</f>
        <v>276400</v>
      </c>
      <c r="N41" s="108">
        <f>SUM(
  'Cost_structure (B2C)'!N$19,
  'Cost_structure (B2C)'!N$20,
  'Cost_structure (B2C)'!N$22
)
</f>
        <v>276400</v>
      </c>
      <c r="O41" s="108">
        <f>SUM(
  'Cost_structure (B2C)'!O$19,
  'Cost_structure (B2C)'!O$20,
  'Cost_structure (B2C)'!O$22
)
</f>
        <v>276400</v>
      </c>
      <c r="P41" s="108">
        <f>SUM(
  'Cost_structure (B2C)'!P$19,
  'Cost_structure (B2C)'!P$20,
  'Cost_structure (B2C)'!P$22
)
</f>
        <v>293680</v>
      </c>
      <c r="Q41" s="108">
        <f>SUM(
  'Cost_structure (B2C)'!Q$19,
  'Cost_structure (B2C)'!Q$20,
  'Cost_structure (B2C)'!Q$22
)
</f>
        <v>331680</v>
      </c>
      <c r="R41" s="108">
        <f>SUM(
  'Cost_structure (B2C)'!R$19,
  'Cost_structure (B2C)'!R$20,
  'Cost_structure (B2C)'!R$22
)
</f>
        <v>331680</v>
      </c>
      <c r="S41" s="108">
        <f>SUM(
  'Cost_structure (B2C)'!S$19,
  'Cost_structure (B2C)'!S$20,
  'Cost_structure (B2C)'!S$22
)
</f>
        <v>352416</v>
      </c>
      <c r="T41" s="108">
        <f>SUM(
  'Cost_structure (B2C)'!T$19,
  'Cost_structure (B2C)'!T$20,
  'Cost_structure (B2C)'!T$22
)
</f>
        <v>352416</v>
      </c>
      <c r="U41" s="108"/>
      <c r="V41" s="81"/>
      <c r="W41" s="81"/>
      <c r="X41" s="81"/>
      <c r="Y41" s="81"/>
      <c r="Z41" s="81"/>
      <c r="AA41" s="81"/>
    </row>
    <row r="42" ht="15.75" customHeight="1">
      <c r="A42" s="74" t="s">
        <v>163</v>
      </c>
      <c r="B42" s="108">
        <f t="shared" si="21"/>
        <v>1779236</v>
      </c>
      <c r="C42" s="108">
        <f>SUM('Cost_structure (B2C)'!C$17:C$18)</f>
        <v>0</v>
      </c>
      <c r="D42" s="108">
        <f>SUM('Cost_structure (B2C)'!D$17:D$18)</f>
        <v>0</v>
      </c>
      <c r="E42" s="108">
        <f>SUM('Cost_structure (B2C)'!E$17:E$18)</f>
        <v>100000</v>
      </c>
      <c r="F42" s="108">
        <f>SUM('Cost_structure (B2C)'!F$17:F$18)</f>
        <v>100000</v>
      </c>
      <c r="G42" s="108">
        <f>SUM('Cost_structure (B2C)'!G$17:G$18)</f>
        <v>100000</v>
      </c>
      <c r="H42" s="108">
        <f>SUM('Cost_structure (B2C)'!H$17:H$18)</f>
        <v>105000</v>
      </c>
      <c r="I42" s="108">
        <f>SUM('Cost_structure (B2C)'!I$17:I$18)</f>
        <v>105000</v>
      </c>
      <c r="J42" s="108">
        <f>SUM('Cost_structure (B2C)'!J$17:J$18)</f>
        <v>105000</v>
      </c>
      <c r="K42" s="108">
        <f>SUM('Cost_structure (B2C)'!K$17:K$18)</f>
        <v>110250</v>
      </c>
      <c r="L42" s="108">
        <f>SUM('Cost_structure (B2C)'!L$17:L$18)</f>
        <v>110250</v>
      </c>
      <c r="M42" s="108">
        <f>SUM('Cost_structure (B2C)'!M$17:M$18)</f>
        <v>110250</v>
      </c>
      <c r="N42" s="108">
        <f>SUM('Cost_structure (B2C)'!N$17:N$18)</f>
        <v>115762</v>
      </c>
      <c r="O42" s="108">
        <f>SUM('Cost_structure (B2C)'!O$17:O$18)</f>
        <v>115762</v>
      </c>
      <c r="P42" s="108">
        <f>SUM('Cost_structure (B2C)'!P$17:P$18)</f>
        <v>115762</v>
      </c>
      <c r="Q42" s="108">
        <f>SUM('Cost_structure (B2C)'!Q$17:Q$18)</f>
        <v>121550</v>
      </c>
      <c r="R42" s="108">
        <f>SUM('Cost_structure (B2C)'!R$17:R$18)</f>
        <v>121550</v>
      </c>
      <c r="S42" s="108">
        <f>SUM('Cost_structure (B2C)'!S$17:S$18)</f>
        <v>121550</v>
      </c>
      <c r="T42" s="108">
        <f>SUM('Cost_structure (B2C)'!T$17:T$18)</f>
        <v>121550</v>
      </c>
      <c r="U42" s="81"/>
      <c r="V42" s="81"/>
      <c r="W42" s="81"/>
      <c r="X42" s="81"/>
      <c r="Y42" s="81"/>
      <c r="Z42" s="81"/>
      <c r="AA42" s="81"/>
    </row>
    <row r="43" ht="15.75" customHeight="1">
      <c r="A43" s="81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81"/>
      <c r="V43" s="81"/>
      <c r="W43" s="81"/>
      <c r="X43" s="81"/>
      <c r="Y43" s="81"/>
      <c r="Z43" s="81"/>
      <c r="AA43" s="81"/>
    </row>
    <row r="44" ht="15.75" customHeight="1">
      <c r="A44" s="97" t="s">
        <v>42</v>
      </c>
      <c r="B44" s="93">
        <f>sum(B46:B50)</f>
        <v>224700</v>
      </c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81"/>
      <c r="V44" s="81"/>
      <c r="W44" s="81"/>
      <c r="X44" s="81"/>
      <c r="Y44" s="81"/>
      <c r="Z44" s="81"/>
      <c r="AA44" s="81"/>
    </row>
    <row r="45" ht="15.75" customHeight="1">
      <c r="A45" s="81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81"/>
      <c r="V45" s="81"/>
      <c r="W45" s="81"/>
      <c r="X45" s="81"/>
      <c r="Y45" s="81"/>
      <c r="Z45" s="81"/>
      <c r="AA45" s="81"/>
    </row>
    <row r="46" ht="15.75" customHeight="1">
      <c r="A46" s="30" t="s">
        <v>43</v>
      </c>
      <c r="B46" s="89">
        <f>'Cost_structure (B2C)'!B26</f>
        <v>150000</v>
      </c>
      <c r="C46" s="89">
        <f>'Cost_structure (B2C)'!C26</f>
        <v>0</v>
      </c>
      <c r="D46" s="89">
        <f>'Cost_structure (B2C)'!D26</f>
        <v>0</v>
      </c>
      <c r="E46" s="89">
        <f>'Cost_structure (B2C)'!E26</f>
        <v>0</v>
      </c>
      <c r="F46" s="89">
        <f>'Cost_structure (B2C)'!F26</f>
        <v>10000</v>
      </c>
      <c r="G46" s="89">
        <f>'Cost_structure (B2C)'!G26</f>
        <v>10000</v>
      </c>
      <c r="H46" s="89">
        <f>'Cost_structure (B2C)'!H26</f>
        <v>10000</v>
      </c>
      <c r="I46" s="89">
        <f>'Cost_structure (B2C)'!I26</f>
        <v>10000</v>
      </c>
      <c r="J46" s="89">
        <f>'Cost_structure (B2C)'!J26</f>
        <v>10000</v>
      </c>
      <c r="K46" s="89">
        <f>'Cost_structure (B2C)'!K26</f>
        <v>10000</v>
      </c>
      <c r="L46" s="89">
        <f>'Cost_structure (B2C)'!L26</f>
        <v>10000</v>
      </c>
      <c r="M46" s="89">
        <f>'Cost_structure (B2C)'!M26</f>
        <v>10000</v>
      </c>
      <c r="N46" s="89">
        <f>'Cost_structure (B2C)'!N26</f>
        <v>10000</v>
      </c>
      <c r="O46" s="89">
        <f>'Cost_structure (B2C)'!O26</f>
        <v>10000</v>
      </c>
      <c r="P46" s="89">
        <f>'Cost_structure (B2C)'!P26</f>
        <v>10000</v>
      </c>
      <c r="Q46" s="89">
        <f>'Cost_structure (B2C)'!Q26</f>
        <v>10000</v>
      </c>
      <c r="R46" s="89">
        <f>'Cost_structure (B2C)'!R26</f>
        <v>10000</v>
      </c>
      <c r="S46" s="89">
        <f>'Cost_structure (B2C)'!S26</f>
        <v>10000</v>
      </c>
      <c r="T46" s="89">
        <f>'Cost_structure (B2C)'!T26</f>
        <v>10000</v>
      </c>
      <c r="U46" s="81"/>
      <c r="V46" s="81"/>
      <c r="W46" s="81"/>
      <c r="X46" s="81"/>
      <c r="Y46" s="81"/>
      <c r="Z46" s="81"/>
      <c r="AA46" s="81"/>
    </row>
    <row r="47" ht="15.75" customHeight="1">
      <c r="A47" s="30" t="s">
        <v>44</v>
      </c>
      <c r="B47" s="89">
        <f>'Cost_structure (B2C)'!B27</f>
        <v>67200</v>
      </c>
      <c r="C47" s="89">
        <f>'Cost_structure (B2C)'!C27</f>
        <v>0</v>
      </c>
      <c r="D47" s="89">
        <f>'Cost_structure (B2C)'!D27</f>
        <v>0</v>
      </c>
      <c r="E47" s="89">
        <f>'Cost_structure (B2C)'!E27</f>
        <v>0</v>
      </c>
      <c r="F47" s="89">
        <f>'Cost_structure (B2C)'!F27</f>
        <v>3200</v>
      </c>
      <c r="G47" s="89">
        <f>'Cost_structure (B2C)'!G27</f>
        <v>3200</v>
      </c>
      <c r="H47" s="89">
        <f>'Cost_structure (B2C)'!H27</f>
        <v>3200</v>
      </c>
      <c r="I47" s="89">
        <f>'Cost_structure (B2C)'!I27</f>
        <v>4800</v>
      </c>
      <c r="J47" s="89">
        <f>'Cost_structure (B2C)'!J27</f>
        <v>4800</v>
      </c>
      <c r="K47" s="89">
        <f>'Cost_structure (B2C)'!K27</f>
        <v>4800</v>
      </c>
      <c r="L47" s="89">
        <f>'Cost_structure (B2C)'!L27</f>
        <v>4800</v>
      </c>
      <c r="M47" s="89">
        <f>'Cost_structure (B2C)'!M27</f>
        <v>4800</v>
      </c>
      <c r="N47" s="89">
        <f>'Cost_structure (B2C)'!N27</f>
        <v>4800</v>
      </c>
      <c r="O47" s="89">
        <f>'Cost_structure (B2C)'!O27</f>
        <v>4800</v>
      </c>
      <c r="P47" s="89">
        <f>'Cost_structure (B2C)'!P27</f>
        <v>4800</v>
      </c>
      <c r="Q47" s="89">
        <f>'Cost_structure (B2C)'!Q27</f>
        <v>4800</v>
      </c>
      <c r="R47" s="89">
        <f>'Cost_structure (B2C)'!R27</f>
        <v>4800</v>
      </c>
      <c r="S47" s="89">
        <f>'Cost_structure (B2C)'!S27</f>
        <v>4800</v>
      </c>
      <c r="T47" s="89">
        <f>'Cost_structure (B2C)'!T27</f>
        <v>4800</v>
      </c>
      <c r="U47" s="96" t="str">
        <f>'Cost_structure (B2C)'!U27</f>
        <v/>
      </c>
      <c r="V47" s="81"/>
      <c r="W47" s="81"/>
      <c r="X47" s="81"/>
      <c r="Y47" s="81"/>
      <c r="Z47" s="81"/>
      <c r="AA47" s="81"/>
    </row>
    <row r="48" ht="15.75" customHeight="1">
      <c r="A48" s="30" t="s">
        <v>45</v>
      </c>
      <c r="B48" s="89">
        <f>'Cost_structure (B2C)'!B28</f>
        <v>7500</v>
      </c>
      <c r="C48" s="89">
        <f>'Cost_structure (B2C)'!C28</f>
        <v>0</v>
      </c>
      <c r="D48" s="89">
        <f>'Cost_structure (B2C)'!D28</f>
        <v>0</v>
      </c>
      <c r="E48" s="89">
        <f>'Cost_structure (B2C)'!E28</f>
        <v>0</v>
      </c>
      <c r="F48" s="89">
        <f>'Cost_structure (B2C)'!F28</f>
        <v>500</v>
      </c>
      <c r="G48" s="89">
        <f>'Cost_structure (B2C)'!G28</f>
        <v>500</v>
      </c>
      <c r="H48" s="89">
        <f>'Cost_structure (B2C)'!H28</f>
        <v>500</v>
      </c>
      <c r="I48" s="89">
        <f>'Cost_structure (B2C)'!I28</f>
        <v>500</v>
      </c>
      <c r="J48" s="89">
        <f>'Cost_structure (B2C)'!J28</f>
        <v>500</v>
      </c>
      <c r="K48" s="89">
        <f>'Cost_structure (B2C)'!K28</f>
        <v>500</v>
      </c>
      <c r="L48" s="89">
        <f>'Cost_structure (B2C)'!L28</f>
        <v>500</v>
      </c>
      <c r="M48" s="89">
        <f>'Cost_structure (B2C)'!M28</f>
        <v>500</v>
      </c>
      <c r="N48" s="89">
        <f>'Cost_structure (B2C)'!N28</f>
        <v>500</v>
      </c>
      <c r="O48" s="89">
        <f>'Cost_structure (B2C)'!O28</f>
        <v>500</v>
      </c>
      <c r="P48" s="89">
        <f>'Cost_structure (B2C)'!P28</f>
        <v>500</v>
      </c>
      <c r="Q48" s="89">
        <f>'Cost_structure (B2C)'!Q28</f>
        <v>500</v>
      </c>
      <c r="R48" s="89">
        <f>'Cost_structure (B2C)'!R28</f>
        <v>500</v>
      </c>
      <c r="S48" s="89">
        <f>'Cost_structure (B2C)'!S28</f>
        <v>500</v>
      </c>
      <c r="T48" s="89">
        <f>'Cost_structure (B2C)'!T28</f>
        <v>500</v>
      </c>
      <c r="U48" s="81"/>
      <c r="V48" s="81"/>
      <c r="W48" s="81"/>
      <c r="X48" s="81"/>
      <c r="Y48" s="81"/>
      <c r="Z48" s="81"/>
      <c r="AA48" s="81"/>
    </row>
    <row r="49" ht="15.75" customHeight="1">
      <c r="A49" s="30" t="s">
        <v>46</v>
      </c>
      <c r="B49" s="96">
        <f>'Cost_structure (B2C)'!B29</f>
        <v>0</v>
      </c>
      <c r="C49" s="96">
        <f>'Cost_structure (B2C)'!C29</f>
        <v>0</v>
      </c>
      <c r="D49" s="96">
        <f>'Cost_structure (B2C)'!D29</f>
        <v>0</v>
      </c>
      <c r="E49" s="96">
        <f>'Cost_structure (B2C)'!E29</f>
        <v>0</v>
      </c>
      <c r="F49" s="96">
        <f>'Cost_structure (B2C)'!F29</f>
        <v>0</v>
      </c>
      <c r="G49" s="96">
        <f>'Cost_structure (B2C)'!G29</f>
        <v>0</v>
      </c>
      <c r="H49" s="96">
        <f>'Cost_structure (B2C)'!H29</f>
        <v>0</v>
      </c>
      <c r="I49" s="96">
        <f>'Cost_structure (B2C)'!I29</f>
        <v>0</v>
      </c>
      <c r="J49" s="96">
        <f>'Cost_structure (B2C)'!J29</f>
        <v>0</v>
      </c>
      <c r="K49" s="96">
        <f>'Cost_structure (B2C)'!K29</f>
        <v>0</v>
      </c>
      <c r="L49" s="96">
        <f>'Cost_structure (B2C)'!L29</f>
        <v>0</v>
      </c>
      <c r="M49" s="96">
        <f>'Cost_structure (B2C)'!M29</f>
        <v>0</v>
      </c>
      <c r="N49" s="96">
        <f>'Cost_structure (B2C)'!N29</f>
        <v>0</v>
      </c>
      <c r="O49" s="96">
        <f>'Cost_structure (B2C)'!O29</f>
        <v>0</v>
      </c>
      <c r="P49" s="96">
        <f>'Cost_structure (B2C)'!P29</f>
        <v>0</v>
      </c>
      <c r="Q49" s="96">
        <f>'Cost_structure (B2C)'!Q29</f>
        <v>0</v>
      </c>
      <c r="R49" s="96">
        <f>'Cost_structure (B2C)'!R29</f>
        <v>0</v>
      </c>
      <c r="S49" s="96">
        <f>'Cost_structure (B2C)'!S29</f>
        <v>0</v>
      </c>
      <c r="T49" s="96">
        <f>'Cost_structure (B2C)'!T29</f>
        <v>0</v>
      </c>
      <c r="U49" s="81"/>
      <c r="V49" s="81"/>
      <c r="W49" s="81"/>
      <c r="X49" s="81"/>
      <c r="Y49" s="81"/>
      <c r="Z49" s="81"/>
      <c r="AA49" s="81"/>
    </row>
    <row r="50" ht="15.75" customHeight="1">
      <c r="A50" s="30" t="s">
        <v>48</v>
      </c>
      <c r="B50" s="89">
        <f>'Cost_structure (B2C)'!B31</f>
        <v>0</v>
      </c>
      <c r="C50" s="89">
        <f>'Cost_structure (B2C)'!C31</f>
        <v>0</v>
      </c>
      <c r="D50" s="89">
        <f>'Cost_structure (B2C)'!D31</f>
        <v>0</v>
      </c>
      <c r="E50" s="89">
        <f>'Cost_structure (B2C)'!E31</f>
        <v>0</v>
      </c>
      <c r="F50" s="89">
        <f>'Cost_structure (B2C)'!F31</f>
        <v>0</v>
      </c>
      <c r="G50" s="89">
        <f>'Cost_structure (B2C)'!G31</f>
        <v>0</v>
      </c>
      <c r="H50" s="89">
        <f>'Cost_structure (B2C)'!H31</f>
        <v>0</v>
      </c>
      <c r="I50" s="89">
        <f>'Cost_structure (B2C)'!I31</f>
        <v>0</v>
      </c>
      <c r="J50" s="89">
        <f>'Cost_structure (B2C)'!J31</f>
        <v>0</v>
      </c>
      <c r="K50" s="89">
        <f>'Cost_structure (B2C)'!K31</f>
        <v>0</v>
      </c>
      <c r="L50" s="89">
        <f>'Cost_structure (B2C)'!L31</f>
        <v>0</v>
      </c>
      <c r="M50" s="89">
        <f>'Cost_structure (B2C)'!M31</f>
        <v>0</v>
      </c>
      <c r="N50" s="89">
        <f>'Cost_structure (B2C)'!N31</f>
        <v>0</v>
      </c>
      <c r="O50" s="89">
        <f>'Cost_structure (B2C)'!O31</f>
        <v>0</v>
      </c>
      <c r="P50" s="89">
        <f>'Cost_structure (B2C)'!P31</f>
        <v>0</v>
      </c>
      <c r="Q50" s="89">
        <f>'Cost_structure (B2C)'!Q31</f>
        <v>0</v>
      </c>
      <c r="R50" s="89">
        <f>'Cost_structure (B2C)'!R31</f>
        <v>0</v>
      </c>
      <c r="S50" s="89">
        <f>'Cost_structure (B2C)'!S31</f>
        <v>0</v>
      </c>
      <c r="T50" s="89">
        <f>'Cost_structure (B2C)'!T31</f>
        <v>0</v>
      </c>
      <c r="U50" s="81"/>
      <c r="V50" s="81"/>
      <c r="W50" s="81"/>
      <c r="X50" s="81"/>
      <c r="Y50" s="81"/>
      <c r="Z50" s="81"/>
      <c r="AA50" s="81"/>
    </row>
    <row r="51" ht="15.75" customHeight="1">
      <c r="A51" s="81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81"/>
      <c r="V51" s="81"/>
      <c r="W51" s="81"/>
      <c r="X51" s="81"/>
      <c r="Y51" s="81"/>
      <c r="Z51" s="81"/>
      <c r="AA51" s="81"/>
    </row>
    <row r="52" ht="15.75" customHeight="1">
      <c r="A52" s="81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81"/>
      <c r="V52" s="81"/>
      <c r="W52" s="81"/>
      <c r="X52" s="81"/>
      <c r="Y52" s="81"/>
      <c r="Z52" s="81"/>
      <c r="AA52" s="81"/>
    </row>
    <row r="53" ht="15.75" customHeight="1">
      <c r="A53" s="97" t="s">
        <v>164</v>
      </c>
      <c r="B53" s="108">
        <f>sum(C53:T53)</f>
        <v>64050522</v>
      </c>
      <c r="C53" s="108">
        <f t="shared" ref="C53:T53" si="22"> C24-C39-C44
</f>
        <v>-100000</v>
      </c>
      <c r="D53" s="108">
        <f t="shared" si="22"/>
        <v>-300000</v>
      </c>
      <c r="E53" s="108">
        <f t="shared" si="22"/>
        <v>-400000</v>
      </c>
      <c r="F53" s="108">
        <f t="shared" si="22"/>
        <v>-647357</v>
      </c>
      <c r="G53" s="108">
        <f t="shared" si="22"/>
        <v>-727748</v>
      </c>
      <c r="H53" s="108">
        <f t="shared" si="22"/>
        <v>-701623</v>
      </c>
      <c r="I53" s="108">
        <f t="shared" si="22"/>
        <v>-829188</v>
      </c>
      <c r="J53" s="108">
        <f t="shared" si="22"/>
        <v>-785340</v>
      </c>
      <c r="K53" s="108">
        <f t="shared" si="22"/>
        <v>-775134</v>
      </c>
      <c r="L53" s="108">
        <f t="shared" si="22"/>
        <v>-923473</v>
      </c>
      <c r="M53" s="108">
        <f t="shared" si="22"/>
        <v>-849811</v>
      </c>
      <c r="N53" s="108">
        <f t="shared" si="22"/>
        <v>5181147</v>
      </c>
      <c r="O53" s="108">
        <f t="shared" si="22"/>
        <v>6523136</v>
      </c>
      <c r="P53" s="108">
        <f t="shared" si="22"/>
        <v>8057246</v>
      </c>
      <c r="Q53" s="108">
        <f t="shared" si="22"/>
        <v>9586452</v>
      </c>
      <c r="R53" s="108">
        <f t="shared" si="22"/>
        <v>11474469</v>
      </c>
      <c r="S53" s="108">
        <f t="shared" si="22"/>
        <v>13882857</v>
      </c>
      <c r="T53" s="108">
        <f t="shared" si="22"/>
        <v>16384889</v>
      </c>
      <c r="U53" s="108"/>
      <c r="V53" s="81"/>
      <c r="W53" s="81"/>
      <c r="X53" s="81"/>
      <c r="Y53" s="81"/>
      <c r="Z53" s="81"/>
      <c r="AA53" s="81"/>
    </row>
    <row r="54" ht="15.75" customHeight="1">
      <c r="A54" s="74" t="s">
        <v>53</v>
      </c>
      <c r="B54" s="81" t="str">
        <f>'Cost_structure (B2C)'!B40</f>
        <v/>
      </c>
      <c r="C54" s="89">
        <f>'Cost_structure (B2C)'!C40</f>
        <v>0</v>
      </c>
      <c r="D54" s="89">
        <f>'Cost_structure (B2C)'!D40</f>
        <v>0</v>
      </c>
      <c r="E54" s="89">
        <f>'Cost_structure (B2C)'!E40</f>
        <v>4332</v>
      </c>
      <c r="F54" s="89">
        <f>'Cost_structure (B2C)'!F40</f>
        <v>9163</v>
      </c>
      <c r="G54" s="89">
        <f>'Cost_structure (B2C)'!G40</f>
        <v>9163</v>
      </c>
      <c r="H54" s="89">
        <f>'Cost_structure (B2C)'!H40</f>
        <v>9163</v>
      </c>
      <c r="I54" s="89">
        <f>'Cost_structure (B2C)'!I40</f>
        <v>9163</v>
      </c>
      <c r="J54" s="89">
        <f>'Cost_structure (B2C)'!J40</f>
        <v>9163</v>
      </c>
      <c r="K54" s="89">
        <f>'Cost_structure (B2C)'!K40</f>
        <v>9163</v>
      </c>
      <c r="L54" s="89">
        <f>'Cost_structure (B2C)'!L40</f>
        <v>9163</v>
      </c>
      <c r="M54" s="89">
        <f>'Cost_structure (B2C)'!M40</f>
        <v>9163</v>
      </c>
      <c r="N54" s="89">
        <f>'Cost_structure (B2C)'!N40</f>
        <v>9163</v>
      </c>
      <c r="O54" s="89">
        <f>'Cost_structure (B2C)'!O40</f>
        <v>9163</v>
      </c>
      <c r="P54" s="89">
        <f>'Cost_structure (B2C)'!P40</f>
        <v>9163</v>
      </c>
      <c r="Q54" s="89">
        <f>'Cost_structure (B2C)'!Q40</f>
        <v>9163</v>
      </c>
      <c r="R54" s="89">
        <f>'Cost_structure (B2C)'!R40</f>
        <v>9163</v>
      </c>
      <c r="S54" s="89">
        <f>'Cost_structure (B2C)'!S40</f>
        <v>9163</v>
      </c>
      <c r="T54" s="89">
        <f>'Cost_structure (B2C)'!T40</f>
        <v>9163</v>
      </c>
      <c r="U54" s="81"/>
      <c r="V54" s="81"/>
      <c r="W54" s="81"/>
      <c r="X54" s="81"/>
      <c r="Y54" s="81"/>
      <c r="Z54" s="81"/>
      <c r="AA54" s="81"/>
    </row>
    <row r="55" ht="15.75" customHeight="1">
      <c r="A55" s="109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81"/>
      <c r="V55" s="81"/>
      <c r="W55" s="81"/>
      <c r="X55" s="81"/>
      <c r="Y55" s="81"/>
      <c r="Z55" s="81"/>
      <c r="AA55" s="81"/>
    </row>
    <row r="56" ht="15.75" customHeight="1">
      <c r="A56" s="81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81"/>
      <c r="V56" s="81"/>
      <c r="W56" s="81"/>
      <c r="X56" s="81"/>
      <c r="Y56" s="81"/>
      <c r="Z56" s="81"/>
      <c r="AA56" s="81"/>
    </row>
    <row r="57" ht="15.75" customHeight="1">
      <c r="A57" s="97" t="s">
        <v>165</v>
      </c>
      <c r="B57" s="108">
        <f t="shared" ref="B57:T57" si="23">B53-B54</f>
        <v>64050522</v>
      </c>
      <c r="C57" s="108">
        <f t="shared" si="23"/>
        <v>-100000</v>
      </c>
      <c r="D57" s="108">
        <f t="shared" si="23"/>
        <v>-300000</v>
      </c>
      <c r="E57" s="108">
        <f t="shared" si="23"/>
        <v>-404332</v>
      </c>
      <c r="F57" s="108">
        <f t="shared" si="23"/>
        <v>-656520</v>
      </c>
      <c r="G57" s="108">
        <f t="shared" si="23"/>
        <v>-736911</v>
      </c>
      <c r="H57" s="108">
        <f t="shared" si="23"/>
        <v>-710786</v>
      </c>
      <c r="I57" s="108">
        <f t="shared" si="23"/>
        <v>-838351</v>
      </c>
      <c r="J57" s="108">
        <f t="shared" si="23"/>
        <v>-794503</v>
      </c>
      <c r="K57" s="108">
        <f t="shared" si="23"/>
        <v>-784297</v>
      </c>
      <c r="L57" s="108">
        <f t="shared" si="23"/>
        <v>-932636</v>
      </c>
      <c r="M57" s="108">
        <f t="shared" si="23"/>
        <v>-858974</v>
      </c>
      <c r="N57" s="108">
        <f t="shared" si="23"/>
        <v>5171984</v>
      </c>
      <c r="O57" s="108">
        <f t="shared" si="23"/>
        <v>6513973</v>
      </c>
      <c r="P57" s="108">
        <f t="shared" si="23"/>
        <v>8048083</v>
      </c>
      <c r="Q57" s="108">
        <f t="shared" si="23"/>
        <v>9577289</v>
      </c>
      <c r="R57" s="108">
        <f t="shared" si="23"/>
        <v>11465306</v>
      </c>
      <c r="S57" s="108">
        <f t="shared" si="23"/>
        <v>13873694</v>
      </c>
      <c r="T57" s="108">
        <f t="shared" si="23"/>
        <v>16375726</v>
      </c>
      <c r="U57" s="81"/>
      <c r="V57" s="81"/>
      <c r="W57" s="81"/>
      <c r="X57" s="81"/>
      <c r="Y57" s="81"/>
      <c r="Z57" s="81"/>
      <c r="AA57" s="81"/>
    </row>
    <row r="58" ht="15.75" customHeight="1">
      <c r="A58" s="74" t="s">
        <v>166</v>
      </c>
      <c r="B58" s="112">
        <v>0.0</v>
      </c>
      <c r="C58" s="112">
        <v>0.0</v>
      </c>
      <c r="D58" s="112">
        <v>0.0</v>
      </c>
      <c r="E58" s="112">
        <v>0.0</v>
      </c>
      <c r="F58" s="112">
        <v>0.0</v>
      </c>
      <c r="G58" s="112">
        <v>0.0</v>
      </c>
      <c r="H58" s="112">
        <v>0.0</v>
      </c>
      <c r="I58" s="112">
        <v>0.0</v>
      </c>
      <c r="J58" s="112">
        <v>0.0</v>
      </c>
      <c r="K58" s="112">
        <v>0.0</v>
      </c>
      <c r="L58" s="112">
        <v>0.0</v>
      </c>
      <c r="M58" s="112">
        <v>0.0</v>
      </c>
      <c r="N58" s="112">
        <v>0.0</v>
      </c>
      <c r="O58" s="112">
        <v>0.0</v>
      </c>
      <c r="P58" s="112">
        <v>0.0</v>
      </c>
      <c r="Q58" s="112">
        <v>0.0</v>
      </c>
      <c r="R58" s="112">
        <v>0.0</v>
      </c>
      <c r="S58" s="112">
        <v>0.0</v>
      </c>
      <c r="T58" s="112">
        <v>0.0</v>
      </c>
      <c r="U58" s="81"/>
      <c r="V58" s="81"/>
      <c r="W58" s="81"/>
      <c r="X58" s="81"/>
      <c r="Y58" s="81"/>
      <c r="Z58" s="81"/>
      <c r="AA58" s="81"/>
    </row>
    <row r="59" ht="15.75" customHeight="1">
      <c r="A59" s="81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81"/>
      <c r="V59" s="81"/>
      <c r="W59" s="81"/>
      <c r="X59" s="81"/>
      <c r="Y59" s="81"/>
      <c r="Z59" s="81"/>
      <c r="AA59" s="81"/>
    </row>
    <row r="60" ht="15.75" customHeight="1">
      <c r="A60" s="97" t="s">
        <v>167</v>
      </c>
      <c r="B60" s="108">
        <f t="shared" ref="B60:T60" si="24">B57-B58</f>
        <v>64050522</v>
      </c>
      <c r="C60" s="108">
        <f t="shared" si="24"/>
        <v>-100000</v>
      </c>
      <c r="D60" s="108">
        <f t="shared" si="24"/>
        <v>-300000</v>
      </c>
      <c r="E60" s="108">
        <f t="shared" si="24"/>
        <v>-404332</v>
      </c>
      <c r="F60" s="108">
        <f t="shared" si="24"/>
        <v>-656520</v>
      </c>
      <c r="G60" s="108">
        <f t="shared" si="24"/>
        <v>-736911</v>
      </c>
      <c r="H60" s="108">
        <f t="shared" si="24"/>
        <v>-710786</v>
      </c>
      <c r="I60" s="108">
        <f t="shared" si="24"/>
        <v>-838351</v>
      </c>
      <c r="J60" s="108">
        <f t="shared" si="24"/>
        <v>-794503</v>
      </c>
      <c r="K60" s="108">
        <f t="shared" si="24"/>
        <v>-784297</v>
      </c>
      <c r="L60" s="108">
        <f t="shared" si="24"/>
        <v>-932636</v>
      </c>
      <c r="M60" s="108">
        <f t="shared" si="24"/>
        <v>-858974</v>
      </c>
      <c r="N60" s="108">
        <f t="shared" si="24"/>
        <v>5171984</v>
      </c>
      <c r="O60" s="108">
        <f t="shared" si="24"/>
        <v>6513973</v>
      </c>
      <c r="P60" s="108">
        <f t="shared" si="24"/>
        <v>8048083</v>
      </c>
      <c r="Q60" s="108">
        <f t="shared" si="24"/>
        <v>9577289</v>
      </c>
      <c r="R60" s="108">
        <f t="shared" si="24"/>
        <v>11465306</v>
      </c>
      <c r="S60" s="108">
        <f t="shared" si="24"/>
        <v>13873694</v>
      </c>
      <c r="T60" s="108">
        <f t="shared" si="24"/>
        <v>16375726</v>
      </c>
      <c r="U60" s="81"/>
      <c r="V60" s="81"/>
      <c r="W60" s="81"/>
      <c r="X60" s="81"/>
      <c r="Y60" s="81"/>
      <c r="Z60" s="81"/>
      <c r="AA60" s="81"/>
    </row>
    <row r="61" ht="15.75" customHeight="1">
      <c r="A61" s="116" t="s">
        <v>168</v>
      </c>
      <c r="B61" s="114">
        <f t="shared" ref="B61:T61" si="25">IFERROR(B60/B3,)</f>
        <v>0.4566348321</v>
      </c>
      <c r="C61" s="114" t="str">
        <f t="shared" si="25"/>
        <v/>
      </c>
      <c r="D61" s="114" t="str">
        <f t="shared" si="25"/>
        <v/>
      </c>
      <c r="E61" s="114" t="str">
        <f t="shared" si="25"/>
        <v/>
      </c>
      <c r="F61" s="114">
        <f t="shared" si="25"/>
        <v>-18.10078508</v>
      </c>
      <c r="G61" s="114">
        <f t="shared" si="25"/>
        <v>-10.6538718</v>
      </c>
      <c r="H61" s="114">
        <f t="shared" si="25"/>
        <v>-6.850780192</v>
      </c>
      <c r="I61" s="114">
        <f t="shared" si="25"/>
        <v>-5.174595918</v>
      </c>
      <c r="J61" s="114">
        <f t="shared" si="25"/>
        <v>-3.545831519</v>
      </c>
      <c r="K61" s="114">
        <f t="shared" si="25"/>
        <v>-2.74533064</v>
      </c>
      <c r="L61" s="114">
        <f t="shared" si="25"/>
        <v>-2.477653701</v>
      </c>
      <c r="M61" s="114">
        <f t="shared" si="25"/>
        <v>-1.811164686</v>
      </c>
      <c r="N61" s="114">
        <f t="shared" si="25"/>
        <v>0.4790124301</v>
      </c>
      <c r="O61" s="114">
        <f t="shared" si="25"/>
        <v>0.4876155565</v>
      </c>
      <c r="P61" s="114">
        <f t="shared" si="25"/>
        <v>0.5047566757</v>
      </c>
      <c r="Q61" s="114">
        <f t="shared" si="25"/>
        <v>0.5158471749</v>
      </c>
      <c r="R61" s="114">
        <f t="shared" si="25"/>
        <v>0.5088078632</v>
      </c>
      <c r="S61" s="114">
        <f t="shared" si="25"/>
        <v>0.5219166131</v>
      </c>
      <c r="T61" s="114">
        <f t="shared" si="25"/>
        <v>0.5325048172</v>
      </c>
      <c r="U61" s="81"/>
      <c r="V61" s="81"/>
      <c r="W61" s="81"/>
      <c r="X61" s="81"/>
      <c r="Y61" s="81"/>
      <c r="Z61" s="81"/>
      <c r="AA61" s="81"/>
    </row>
    <row r="62" ht="15.75" customHeight="1">
      <c r="A62" s="116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81"/>
      <c r="V62" s="81"/>
      <c r="W62" s="81"/>
      <c r="X62" s="81"/>
      <c r="Y62" s="81"/>
      <c r="Z62" s="81"/>
      <c r="AA62" s="81"/>
    </row>
    <row r="63" ht="15.75" customHeight="1">
      <c r="A63" s="97" t="s">
        <v>169</v>
      </c>
      <c r="B63" s="89">
        <f t="shared" ref="B63:T63" si="26">B3-B10-B15-B27-B39-B44</f>
        <v>60038833.53</v>
      </c>
      <c r="C63" s="89">
        <f t="shared" si="26"/>
        <v>-126089.8</v>
      </c>
      <c r="D63" s="89">
        <f t="shared" si="26"/>
        <v>-490089.8</v>
      </c>
      <c r="E63" s="89">
        <f t="shared" si="26"/>
        <v>-594089.8</v>
      </c>
      <c r="F63" s="89">
        <f t="shared" si="26"/>
        <v>-1109248.575</v>
      </c>
      <c r="G63" s="89">
        <f t="shared" si="26"/>
        <v>-1216133.263</v>
      </c>
      <c r="H63" s="89">
        <f t="shared" si="26"/>
        <v>-1217154.994</v>
      </c>
      <c r="I63" s="89">
        <f t="shared" si="26"/>
        <v>-1595697.991</v>
      </c>
      <c r="J63" s="89">
        <f t="shared" si="26"/>
        <v>-1604299.336</v>
      </c>
      <c r="K63" s="89">
        <f t="shared" si="26"/>
        <v>-1844076.55</v>
      </c>
      <c r="L63" s="89">
        <f t="shared" si="26"/>
        <v>-2067019.98</v>
      </c>
      <c r="M63" s="89">
        <f t="shared" si="26"/>
        <v>-2068589.075</v>
      </c>
      <c r="N63" s="89">
        <f t="shared" si="26"/>
        <v>3412286.775</v>
      </c>
      <c r="O63" s="89">
        <f t="shared" si="26"/>
        <v>4444390.892</v>
      </c>
      <c r="P63" s="89">
        <f t="shared" si="26"/>
        <v>5866502.469</v>
      </c>
      <c r="Q63" s="89">
        <f t="shared" si="26"/>
        <v>7280537.233</v>
      </c>
      <c r="R63" s="89">
        <f t="shared" si="26"/>
        <v>8994882.379</v>
      </c>
      <c r="S63" s="89">
        <f t="shared" si="26"/>
        <v>11222461.7</v>
      </c>
      <c r="T63" s="89">
        <f t="shared" si="26"/>
        <v>13532982.28</v>
      </c>
      <c r="U63" s="81"/>
      <c r="V63" s="81"/>
      <c r="W63" s="81"/>
      <c r="X63" s="81"/>
      <c r="Y63" s="81"/>
      <c r="Z63" s="81"/>
      <c r="AA63" s="81"/>
    </row>
    <row r="64" ht="15.75" customHeight="1">
      <c r="A64" s="116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81"/>
      <c r="V64" s="81"/>
      <c r="W64" s="81"/>
      <c r="X64" s="81"/>
      <c r="Y64" s="81"/>
      <c r="Z64" s="81"/>
      <c r="AA64" s="81"/>
    </row>
    <row r="65" ht="15.75" customHeight="1">
      <c r="A65" s="117" t="s">
        <v>170</v>
      </c>
      <c r="B65" s="49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48"/>
      <c r="V65" s="48"/>
      <c r="W65" s="48"/>
      <c r="X65" s="48"/>
      <c r="Y65" s="48"/>
      <c r="Z65" s="48"/>
      <c r="AA65" s="48"/>
    </row>
    <row r="66" ht="15.75" customHeight="1">
      <c r="A66" s="81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1"/>
      <c r="V66" s="81"/>
      <c r="W66" s="81"/>
      <c r="X66" s="81"/>
      <c r="Y66" s="81"/>
      <c r="Z66" s="81"/>
      <c r="AA66" s="81"/>
    </row>
    <row r="67" ht="15.75" customHeight="1">
      <c r="A67" s="119" t="s">
        <v>171</v>
      </c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</row>
    <row r="68" ht="15.75" customHeight="1">
      <c r="A68" s="120" t="s">
        <v>172</v>
      </c>
      <c r="B68" s="92">
        <f>'Cost_structure (B2C)'!B36</f>
        <v>549800</v>
      </c>
      <c r="C68" s="92">
        <f>'Cost_structure (B2C)'!C36</f>
        <v>0</v>
      </c>
      <c r="D68" s="92">
        <f>'Cost_structure (B2C)'!D36</f>
        <v>0</v>
      </c>
      <c r="E68" s="92">
        <f>'Cost_structure (B2C)'!E36</f>
        <v>259900</v>
      </c>
      <c r="F68" s="92">
        <f>'Cost_structure (B2C)'!F36</f>
        <v>289900</v>
      </c>
      <c r="G68" s="92">
        <f>'Cost_structure (B2C)'!G36</f>
        <v>0</v>
      </c>
      <c r="H68" s="92">
        <f>'Cost_structure (B2C)'!H36</f>
        <v>0</v>
      </c>
      <c r="I68" s="92">
        <f>'Cost_structure (B2C)'!I36</f>
        <v>0</v>
      </c>
      <c r="J68" s="92">
        <f>'Cost_structure (B2C)'!J36</f>
        <v>0</v>
      </c>
      <c r="K68" s="92">
        <f>'Cost_structure (B2C)'!K36</f>
        <v>0</v>
      </c>
      <c r="L68" s="92">
        <f>'Cost_structure (B2C)'!L36</f>
        <v>0</v>
      </c>
      <c r="M68" s="92">
        <f>'Cost_structure (B2C)'!M36</f>
        <v>0</v>
      </c>
      <c r="N68" s="92">
        <f>'Cost_structure (B2C)'!N36</f>
        <v>0</v>
      </c>
      <c r="O68" s="92">
        <f>'Cost_structure (B2C)'!O36</f>
        <v>0</v>
      </c>
      <c r="P68" s="92">
        <f>'Cost_structure (B2C)'!P36</f>
        <v>0</v>
      </c>
      <c r="Q68" s="92">
        <f>'Cost_structure (B2C)'!Q36</f>
        <v>0</v>
      </c>
      <c r="R68" s="92">
        <f>'Cost_structure (B2C)'!R36</f>
        <v>0</v>
      </c>
      <c r="S68" s="92">
        <f>'Cost_structure (B2C)'!S36</f>
        <v>0</v>
      </c>
      <c r="T68" s="92">
        <f>'Cost_structure (B2C)'!T36</f>
        <v>0</v>
      </c>
      <c r="U68" s="81"/>
      <c r="V68" s="81"/>
      <c r="W68" s="81"/>
      <c r="X68" s="81"/>
      <c r="Y68" s="81"/>
      <c r="Z68" s="81"/>
      <c r="AA68" s="81"/>
    </row>
    <row r="69" ht="15.75" customHeight="1">
      <c r="A69" s="120" t="s">
        <v>173</v>
      </c>
      <c r="B69" s="101">
        <v>0.0</v>
      </c>
      <c r="C69" s="101">
        <v>0.0</v>
      </c>
      <c r="D69" s="101">
        <v>0.0</v>
      </c>
      <c r="E69" s="101">
        <v>0.0</v>
      </c>
      <c r="F69" s="101">
        <v>0.0</v>
      </c>
      <c r="G69" s="101">
        <v>0.0</v>
      </c>
      <c r="H69" s="101">
        <v>0.0</v>
      </c>
      <c r="I69" s="101">
        <v>0.0</v>
      </c>
      <c r="J69" s="101">
        <v>0.0</v>
      </c>
      <c r="K69" s="101">
        <v>0.0</v>
      </c>
      <c r="L69" s="101">
        <v>0.0</v>
      </c>
      <c r="M69" s="101">
        <v>0.0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81"/>
      <c r="V69" s="81"/>
      <c r="W69" s="81"/>
      <c r="X69" s="81"/>
      <c r="Y69" s="81"/>
      <c r="Z69" s="81"/>
      <c r="AA69" s="81"/>
    </row>
    <row r="70" ht="15.75" customHeight="1">
      <c r="A70" s="120" t="s">
        <v>174</v>
      </c>
      <c r="B70" s="74">
        <v>0.0</v>
      </c>
      <c r="C70" s="74">
        <v>0.0</v>
      </c>
      <c r="D70" s="74">
        <v>0.0</v>
      </c>
      <c r="E70" s="74">
        <v>0.0</v>
      </c>
      <c r="F70" s="74">
        <v>0.0</v>
      </c>
      <c r="G70" s="74">
        <v>0.0</v>
      </c>
      <c r="H70" s="74">
        <v>0.0</v>
      </c>
      <c r="I70" s="74">
        <v>0.0</v>
      </c>
      <c r="J70" s="74">
        <v>0.0</v>
      </c>
      <c r="K70" s="74">
        <v>0.0</v>
      </c>
      <c r="L70" s="74">
        <v>0.0</v>
      </c>
      <c r="M70" s="74">
        <v>0.0</v>
      </c>
      <c r="N70" s="74">
        <v>0.0</v>
      </c>
      <c r="O70" s="74">
        <v>0.0</v>
      </c>
      <c r="P70" s="74">
        <v>0.0</v>
      </c>
      <c r="Q70" s="74">
        <v>0.0</v>
      </c>
      <c r="R70" s="74">
        <v>0.0</v>
      </c>
      <c r="S70" s="74">
        <v>0.0</v>
      </c>
      <c r="T70" s="74">
        <v>0.0</v>
      </c>
      <c r="U70" s="81"/>
      <c r="V70" s="81"/>
      <c r="W70" s="81"/>
      <c r="X70" s="81"/>
      <c r="Y70" s="81"/>
      <c r="Z70" s="81"/>
      <c r="AA70" s="81"/>
    </row>
    <row r="71" ht="15.75" customHeight="1">
      <c r="A71" s="109"/>
      <c r="B71" s="92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81"/>
      <c r="V71" s="81"/>
      <c r="W71" s="81"/>
      <c r="X71" s="81"/>
      <c r="Y71" s="81"/>
      <c r="Z71" s="81"/>
      <c r="AA71" s="81"/>
    </row>
    <row r="72" ht="15.75" customHeight="1">
      <c r="A72" s="119" t="s">
        <v>175</v>
      </c>
      <c r="B72" s="121"/>
      <c r="C72" s="121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81"/>
      <c r="V72" s="81"/>
      <c r="W72" s="81"/>
      <c r="X72" s="81"/>
      <c r="Y72" s="81"/>
      <c r="Z72" s="81"/>
      <c r="AA72" s="81"/>
    </row>
    <row r="73" ht="15.75" customHeight="1">
      <c r="A73" s="120" t="s">
        <v>176</v>
      </c>
      <c r="B73" s="54"/>
      <c r="C73" s="122">
        <v>1.5E7</v>
      </c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</row>
    <row r="74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</row>
    <row r="75" ht="15.75" customHeight="1">
      <c r="A75" s="119" t="s">
        <v>177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</row>
    <row r="76" ht="15.75" customHeight="1">
      <c r="A76" s="120" t="s">
        <v>178</v>
      </c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</row>
    <row r="77" ht="15.75" customHeight="1">
      <c r="A77" s="120" t="s">
        <v>179</v>
      </c>
      <c r="B77" s="81"/>
      <c r="C77" s="108">
        <f t="shared" ref="C77:T77" si="27">C60</f>
        <v>-100000</v>
      </c>
      <c r="D77" s="108">
        <f t="shared" si="27"/>
        <v>-300000</v>
      </c>
      <c r="E77" s="108">
        <f t="shared" si="27"/>
        <v>-404332</v>
      </c>
      <c r="F77" s="108">
        <f t="shared" si="27"/>
        <v>-656520</v>
      </c>
      <c r="G77" s="108">
        <f t="shared" si="27"/>
        <v>-736911</v>
      </c>
      <c r="H77" s="108">
        <f t="shared" si="27"/>
        <v>-710786</v>
      </c>
      <c r="I77" s="108">
        <f t="shared" si="27"/>
        <v>-838351</v>
      </c>
      <c r="J77" s="108">
        <f t="shared" si="27"/>
        <v>-794503</v>
      </c>
      <c r="K77" s="108">
        <f t="shared" si="27"/>
        <v>-784297</v>
      </c>
      <c r="L77" s="108">
        <f t="shared" si="27"/>
        <v>-932636</v>
      </c>
      <c r="M77" s="108">
        <f t="shared" si="27"/>
        <v>-858974</v>
      </c>
      <c r="N77" s="108">
        <f t="shared" si="27"/>
        <v>5171984</v>
      </c>
      <c r="O77" s="108">
        <f t="shared" si="27"/>
        <v>6513973</v>
      </c>
      <c r="P77" s="108">
        <f t="shared" si="27"/>
        <v>8048083</v>
      </c>
      <c r="Q77" s="108">
        <f t="shared" si="27"/>
        <v>9577289</v>
      </c>
      <c r="R77" s="108">
        <f t="shared" si="27"/>
        <v>11465306</v>
      </c>
      <c r="S77" s="108">
        <f t="shared" si="27"/>
        <v>13873694</v>
      </c>
      <c r="T77" s="108">
        <f t="shared" si="27"/>
        <v>16375726</v>
      </c>
      <c r="U77" s="81"/>
      <c r="V77" s="81"/>
      <c r="W77" s="81"/>
      <c r="X77" s="81"/>
      <c r="Y77" s="81"/>
      <c r="Z77" s="81"/>
      <c r="AA77" s="81"/>
    </row>
    <row r="78" ht="15.75" customHeight="1">
      <c r="A78" s="120" t="s">
        <v>180</v>
      </c>
      <c r="B78" s="81"/>
      <c r="C78" s="89">
        <f>C73</f>
        <v>15000000</v>
      </c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</row>
    <row r="79" ht="15.75" customHeight="1">
      <c r="A79" s="120" t="s">
        <v>181</v>
      </c>
      <c r="B79" s="81"/>
      <c r="C79" s="89">
        <f t="shared" ref="C79:T79" si="28">-C68+C70</f>
        <v>0</v>
      </c>
      <c r="D79" s="89">
        <f t="shared" si="28"/>
        <v>0</v>
      </c>
      <c r="E79" s="89">
        <f t="shared" si="28"/>
        <v>-259900</v>
      </c>
      <c r="F79" s="89">
        <f t="shared" si="28"/>
        <v>-289900</v>
      </c>
      <c r="G79" s="89">
        <f t="shared" si="28"/>
        <v>0</v>
      </c>
      <c r="H79" s="89">
        <f t="shared" si="28"/>
        <v>0</v>
      </c>
      <c r="I79" s="89">
        <f t="shared" si="28"/>
        <v>0</v>
      </c>
      <c r="J79" s="89">
        <f t="shared" si="28"/>
        <v>0</v>
      </c>
      <c r="K79" s="89">
        <f t="shared" si="28"/>
        <v>0</v>
      </c>
      <c r="L79" s="89">
        <f t="shared" si="28"/>
        <v>0</v>
      </c>
      <c r="M79" s="89">
        <f t="shared" si="28"/>
        <v>0</v>
      </c>
      <c r="N79" s="89">
        <f t="shared" si="28"/>
        <v>0</v>
      </c>
      <c r="O79" s="89">
        <f t="shared" si="28"/>
        <v>0</v>
      </c>
      <c r="P79" s="89">
        <f t="shared" si="28"/>
        <v>0</v>
      </c>
      <c r="Q79" s="89">
        <f t="shared" si="28"/>
        <v>0</v>
      </c>
      <c r="R79" s="89">
        <f t="shared" si="28"/>
        <v>0</v>
      </c>
      <c r="S79" s="89">
        <f t="shared" si="28"/>
        <v>0</v>
      </c>
      <c r="T79" s="89">
        <f t="shared" si="28"/>
        <v>0</v>
      </c>
      <c r="U79" s="81"/>
      <c r="V79" s="81"/>
      <c r="W79" s="81"/>
      <c r="X79" s="81"/>
      <c r="Y79" s="81"/>
      <c r="Z79" s="81"/>
      <c r="AA79" s="81"/>
    </row>
    <row r="80" ht="15.75" customHeight="1">
      <c r="A80" s="120" t="s">
        <v>182</v>
      </c>
      <c r="B80" s="81"/>
      <c r="C80" s="108">
        <f t="shared" ref="C80:T80" si="29">SUM(C77:C79)</f>
        <v>14900000</v>
      </c>
      <c r="D80" s="108">
        <f t="shared" si="29"/>
        <v>-300000</v>
      </c>
      <c r="E80" s="108">
        <f t="shared" si="29"/>
        <v>-664232</v>
      </c>
      <c r="F80" s="108">
        <f t="shared" si="29"/>
        <v>-946420</v>
      </c>
      <c r="G80" s="108">
        <f t="shared" si="29"/>
        <v>-736911</v>
      </c>
      <c r="H80" s="108">
        <f t="shared" si="29"/>
        <v>-710786</v>
      </c>
      <c r="I80" s="108">
        <f t="shared" si="29"/>
        <v>-838351</v>
      </c>
      <c r="J80" s="108">
        <f t="shared" si="29"/>
        <v>-794503</v>
      </c>
      <c r="K80" s="108">
        <f t="shared" si="29"/>
        <v>-784297</v>
      </c>
      <c r="L80" s="108">
        <f t="shared" si="29"/>
        <v>-932636</v>
      </c>
      <c r="M80" s="108">
        <f t="shared" si="29"/>
        <v>-858974</v>
      </c>
      <c r="N80" s="108">
        <f t="shared" si="29"/>
        <v>5171984</v>
      </c>
      <c r="O80" s="108">
        <f t="shared" si="29"/>
        <v>6513973</v>
      </c>
      <c r="P80" s="108">
        <f t="shared" si="29"/>
        <v>8048083</v>
      </c>
      <c r="Q80" s="108">
        <f t="shared" si="29"/>
        <v>9577289</v>
      </c>
      <c r="R80" s="108">
        <f t="shared" si="29"/>
        <v>11465306</v>
      </c>
      <c r="S80" s="108">
        <f t="shared" si="29"/>
        <v>13873694</v>
      </c>
      <c r="T80" s="108">
        <f t="shared" si="29"/>
        <v>16375726</v>
      </c>
      <c r="U80" s="81"/>
      <c r="V80" s="81"/>
      <c r="W80" s="81"/>
      <c r="X80" s="81"/>
      <c r="Y80" s="81"/>
      <c r="Z80" s="81"/>
      <c r="AA80" s="81"/>
    </row>
    <row r="81" ht="15.75" customHeight="1">
      <c r="A81" s="120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</row>
    <row r="82" ht="15.75" customHeight="1">
      <c r="A82" s="123" t="s">
        <v>183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</row>
    <row r="83" ht="15.75" customHeight="1">
      <c r="A83" s="109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</row>
    <row r="84" ht="15.75" customHeight="1">
      <c r="A84" s="120" t="s">
        <v>28</v>
      </c>
      <c r="B84" s="85">
        <v>9551308.0</v>
      </c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</row>
    <row r="85" ht="15.75" customHeight="1">
      <c r="A85" s="120" t="s">
        <v>184</v>
      </c>
      <c r="B85" s="96">
        <v>224700.0</v>
      </c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81"/>
      <c r="V85" s="81"/>
      <c r="W85" s="81"/>
      <c r="X85" s="81"/>
      <c r="Y85" s="81"/>
      <c r="Z85" s="81"/>
      <c r="AA85" s="81"/>
    </row>
    <row r="86" ht="15.75" customHeight="1">
      <c r="A86" s="55"/>
      <c r="B86" s="81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81"/>
      <c r="V86" s="81"/>
      <c r="W86" s="81"/>
      <c r="X86" s="81"/>
      <c r="Y86" s="81"/>
      <c r="Z86" s="81"/>
      <c r="AA86" s="81"/>
    </row>
    <row r="87" ht="15.75" customHeight="1">
      <c r="A87" s="120" t="s">
        <v>185</v>
      </c>
      <c r="B87" s="114">
        <f>SUM(B84:B85)/15000000
</f>
        <v>0.6517338667</v>
      </c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81"/>
      <c r="V87" s="81"/>
      <c r="W87" s="81"/>
      <c r="X87" s="81"/>
      <c r="Y87" s="81"/>
      <c r="Z87" s="81"/>
      <c r="AA87" s="81"/>
    </row>
    <row r="88" ht="15.75" customHeight="1">
      <c r="A88" s="81"/>
      <c r="B88" s="81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81"/>
      <c r="V88" s="81"/>
      <c r="W88" s="81"/>
      <c r="X88" s="81"/>
      <c r="Y88" s="81"/>
      <c r="Z88" s="81"/>
      <c r="AA88" s="81"/>
    </row>
    <row r="89" ht="15.75" customHeight="1">
      <c r="A89" s="81"/>
      <c r="B89" s="81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81"/>
      <c r="V89" s="81"/>
      <c r="W89" s="81"/>
      <c r="X89" s="81"/>
      <c r="Y89" s="81"/>
      <c r="Z89" s="81"/>
      <c r="AA89" s="81"/>
    </row>
    <row r="90" ht="15.75" customHeight="1">
      <c r="A90" s="81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81"/>
      <c r="V90" s="81"/>
      <c r="W90" s="81"/>
      <c r="X90" s="81"/>
      <c r="Y90" s="81"/>
      <c r="Z90" s="81"/>
      <c r="AA90" s="81"/>
    </row>
    <row r="91" ht="15.75" customHeight="1">
      <c r="A91" s="81"/>
      <c r="B91" s="81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81"/>
      <c r="V91" s="81"/>
      <c r="W91" s="81"/>
      <c r="X91" s="81"/>
      <c r="Y91" s="81"/>
      <c r="Z91" s="81"/>
      <c r="AA91" s="81"/>
    </row>
    <row r="92" ht="15.75" customHeight="1">
      <c r="A92" s="81"/>
      <c r="B92" s="81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81"/>
      <c r="V92" s="81"/>
      <c r="W92" s="81"/>
      <c r="X92" s="81"/>
      <c r="Y92" s="81"/>
      <c r="Z92" s="81"/>
      <c r="AA92" s="81"/>
    </row>
    <row r="93" ht="15.75" customHeight="1">
      <c r="A93" s="81"/>
      <c r="B93" s="81"/>
      <c r="C93" s="81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81"/>
      <c r="V93" s="81"/>
      <c r="W93" s="81"/>
      <c r="X93" s="81"/>
      <c r="Y93" s="81"/>
      <c r="Z93" s="81"/>
      <c r="AA93" s="81"/>
    </row>
    <row r="94" ht="15.75" customHeight="1">
      <c r="A94" s="81"/>
      <c r="B94" s="81"/>
      <c r="C94" s="81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81"/>
      <c r="V94" s="81"/>
      <c r="W94" s="81"/>
      <c r="X94" s="81"/>
      <c r="Y94" s="81"/>
      <c r="Z94" s="81"/>
      <c r="AA94" s="81"/>
    </row>
    <row r="95" ht="15.75" customHeight="1">
      <c r="A95" s="81"/>
      <c r="B95" s="81"/>
      <c r="C95" s="81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81"/>
      <c r="V95" s="81"/>
      <c r="W95" s="81"/>
      <c r="X95" s="81"/>
      <c r="Y95" s="81"/>
      <c r="Z95" s="81"/>
      <c r="AA95" s="81"/>
    </row>
    <row r="96" ht="15.75" customHeight="1">
      <c r="A96" s="81"/>
      <c r="B96" s="81"/>
      <c r="C96" s="81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81"/>
      <c r="V96" s="81"/>
      <c r="W96" s="81"/>
      <c r="X96" s="81"/>
      <c r="Y96" s="81"/>
      <c r="Z96" s="81"/>
      <c r="AA96" s="81"/>
    </row>
    <row r="97" ht="15.75" customHeight="1">
      <c r="A97" s="81"/>
      <c r="B97" s="81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81"/>
      <c r="V97" s="81"/>
      <c r="W97" s="81"/>
      <c r="X97" s="81"/>
      <c r="Y97" s="81"/>
      <c r="Z97" s="81"/>
      <c r="AA97" s="81"/>
    </row>
    <row r="98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</row>
    <row r="99" ht="15.75" customHeight="1">
      <c r="A99" s="109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</row>
    <row r="100" ht="15.75" customHeight="1">
      <c r="A100" s="81"/>
      <c r="B100" s="89"/>
      <c r="C100" s="89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</row>
    <row r="101" ht="15.75" customHeight="1">
      <c r="A101" s="81"/>
      <c r="B101" s="81"/>
      <c r="C101" s="85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</row>
    <row r="102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</row>
    <row r="103" ht="15.75" customHeight="1">
      <c r="A103" s="109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</row>
    <row r="104" ht="15.75" customHeight="1">
      <c r="A104" s="81"/>
      <c r="B104" s="81"/>
      <c r="C104" s="81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81"/>
      <c r="V104" s="81"/>
      <c r="W104" s="81"/>
      <c r="X104" s="81"/>
      <c r="Y104" s="81"/>
      <c r="Z104" s="81"/>
      <c r="AA104" s="81"/>
    </row>
    <row r="105" ht="15.75" customHeight="1">
      <c r="A105" s="81"/>
      <c r="B105" s="81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81"/>
      <c r="V105" s="81"/>
      <c r="W105" s="81"/>
      <c r="X105" s="81"/>
      <c r="Y105" s="81"/>
      <c r="Z105" s="81"/>
      <c r="AA105" s="81"/>
    </row>
    <row r="106" ht="15.75" customHeight="1">
      <c r="A106" s="81"/>
      <c r="B106" s="81"/>
      <c r="C106" s="89"/>
      <c r="D106" s="81"/>
      <c r="E106" s="81"/>
      <c r="F106" s="81"/>
      <c r="G106" s="81"/>
      <c r="H106" s="81"/>
      <c r="I106" s="81"/>
      <c r="J106" s="81"/>
      <c r="K106" s="81"/>
      <c r="L106" s="81"/>
      <c r="M106" s="89"/>
      <c r="N106" s="81"/>
      <c r="O106" s="81"/>
      <c r="P106" s="89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</row>
    <row r="107" ht="15.75" customHeight="1">
      <c r="A107" s="81"/>
      <c r="B107" s="81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81"/>
      <c r="V107" s="81"/>
      <c r="W107" s="81"/>
      <c r="X107" s="81"/>
      <c r="Y107" s="81"/>
      <c r="Z107" s="81"/>
      <c r="AA107" s="81"/>
    </row>
    <row r="108" ht="15.75" customHeight="1">
      <c r="A108" s="81"/>
      <c r="B108" s="81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81"/>
      <c r="V108" s="81"/>
      <c r="W108" s="81"/>
      <c r="X108" s="81"/>
      <c r="Y108" s="81"/>
      <c r="Z108" s="81"/>
      <c r="AA108" s="81"/>
    </row>
    <row r="109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</row>
    <row r="110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</row>
    <row r="111" ht="15.75" customHeight="1">
      <c r="A111" s="81"/>
      <c r="B111" s="108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</row>
    <row r="112" ht="15.75" customHeight="1">
      <c r="A112" s="81"/>
      <c r="B112" s="108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</row>
    <row r="11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</row>
    <row r="114" ht="15.75" customHeight="1">
      <c r="A114" s="81"/>
      <c r="B114" s="114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</row>
    <row r="115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</row>
    <row r="116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</row>
    <row r="117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</row>
    <row r="118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</row>
    <row r="119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</row>
    <row r="120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</row>
    <row r="121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</row>
    <row r="122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</row>
    <row r="12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</row>
    <row r="124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</row>
    <row r="125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</row>
    <row r="126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</row>
    <row r="127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</row>
    <row r="128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</row>
    <row r="129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</row>
    <row r="130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</row>
    <row r="131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</row>
    <row r="132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</row>
    <row r="13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</row>
    <row r="134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</row>
    <row r="135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</row>
    <row r="136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</row>
    <row r="137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</row>
    <row r="138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</row>
    <row r="139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</row>
    <row r="140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</row>
    <row r="141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</row>
    <row r="142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</row>
    <row r="14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</row>
    <row r="144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</row>
    <row r="145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</row>
    <row r="146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</row>
    <row r="147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</row>
    <row r="148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</row>
    <row r="149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</row>
    <row r="150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</row>
    <row r="151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</row>
    <row r="152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</row>
    <row r="15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</row>
    <row r="154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</row>
    <row r="155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</row>
    <row r="156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</row>
    <row r="157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</row>
    <row r="158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</row>
    <row r="159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</row>
    <row r="160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</row>
    <row r="161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</row>
    <row r="162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</row>
    <row r="16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</row>
    <row r="164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</row>
    <row r="165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</row>
    <row r="166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</row>
    <row r="167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</row>
    <row r="168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</row>
    <row r="169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</row>
    <row r="170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</row>
    <row r="171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</row>
    <row r="172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</row>
    <row r="17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</row>
    <row r="174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</row>
    <row r="175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</row>
    <row r="176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</row>
    <row r="177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</row>
    <row r="178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</row>
    <row r="179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</row>
    <row r="180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</row>
    <row r="181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</row>
    <row r="182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</row>
    <row r="1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</row>
    <row r="184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</row>
    <row r="185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</row>
    <row r="186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</row>
    <row r="187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</row>
    <row r="188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</row>
    <row r="189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</row>
    <row r="190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</row>
    <row r="191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</row>
    <row r="192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</row>
    <row r="19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</row>
    <row r="194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</row>
    <row r="195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</row>
    <row r="196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</row>
    <row r="197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</row>
    <row r="198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</row>
    <row r="199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</row>
    <row r="200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</row>
    <row r="201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</row>
    <row r="202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</row>
    <row r="20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</row>
    <row r="204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</row>
    <row r="205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</row>
    <row r="206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</row>
    <row r="207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</row>
    <row r="208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</row>
    <row r="209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</row>
    <row r="210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</row>
    <row r="211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</row>
    <row r="212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</row>
    <row r="21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</row>
    <row r="214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</row>
    <row r="215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</row>
    <row r="216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</row>
    <row r="217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</row>
    <row r="218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</row>
    <row r="219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</row>
    <row r="220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</row>
    <row r="221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</row>
    <row r="222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</row>
    <row r="22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</row>
    <row r="224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</row>
    <row r="225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</row>
    <row r="226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</row>
    <row r="227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</row>
    <row r="228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</row>
    <row r="229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</row>
    <row r="230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</row>
    <row r="231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</row>
    <row r="232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</row>
    <row r="23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</row>
    <row r="234" ht="15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</row>
    <row r="235" ht="15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</row>
    <row r="236" ht="15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</row>
    <row r="237" ht="15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</row>
    <row r="238" ht="15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</row>
    <row r="239" ht="15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</row>
    <row r="240" ht="15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</row>
    <row r="241" ht="15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</row>
    <row r="242" ht="15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</row>
    <row r="243" ht="15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</row>
    <row r="244" ht="15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</row>
    <row r="245" ht="15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</row>
    <row r="246" ht="15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</row>
    <row r="247" ht="15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</row>
    <row r="248" ht="15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</row>
    <row r="249" ht="15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</row>
    <row r="250" ht="15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</row>
    <row r="251" ht="15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</row>
    <row r="252" ht="15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</row>
    <row r="253" ht="15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</row>
    <row r="254" ht="15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</row>
    <row r="255" ht="15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</row>
    <row r="256" ht="15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</row>
    <row r="257" ht="15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</row>
    <row r="258" ht="15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</row>
    <row r="259" ht="15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</row>
    <row r="260" ht="15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</row>
    <row r="261" ht="15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</row>
    <row r="262" ht="15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</row>
    <row r="263" ht="15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</row>
    <row r="264" ht="15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</row>
    <row r="265" ht="15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</row>
    <row r="266" ht="15.7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</row>
    <row r="267" ht="15.7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</row>
    <row r="268" ht="15.7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</row>
    <row r="269" ht="15.7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</row>
    <row r="270" ht="15.7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</row>
    <row r="271" ht="15.7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</row>
    <row r="272" ht="15.7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</row>
    <row r="273" ht="15.7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</row>
    <row r="274" ht="15.7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</row>
    <row r="275" ht="15.7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</row>
    <row r="276" ht="15.7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</row>
    <row r="277" ht="15.7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</row>
    <row r="278" ht="15.7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</row>
    <row r="279" ht="15.7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</row>
    <row r="280" ht="15.7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</row>
    <row r="281" ht="15.7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</row>
    <row r="282" ht="15.7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</row>
    <row r="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</row>
    <row r="284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</row>
    <row r="285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</row>
    <row r="286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</row>
    <row r="287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</row>
    <row r="288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</row>
    <row r="289" ht="15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</row>
    <row r="290" ht="15.75" customHeight="1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</row>
    <row r="291" ht="15.75" customHeight="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</row>
    <row r="292" ht="15.75" customHeight="1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</row>
    <row r="293" ht="15.75" customHeight="1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</row>
    <row r="294" ht="15.75" customHeight="1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</row>
    <row r="295" ht="15.75" customHeight="1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</row>
    <row r="296" ht="15.75" customHeight="1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</row>
    <row r="297" ht="15.75" customHeight="1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</row>
    <row r="298" ht="15.75" customHeight="1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</row>
    <row r="299" ht="15.75" customHeight="1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</row>
    <row r="300" ht="15.75" customHeight="1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</row>
    <row r="301" ht="15.75" customHeight="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</row>
    <row r="302" ht="15.75" customHeight="1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</row>
    <row r="303" ht="15.75" customHeight="1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</row>
    <row r="304" ht="15.75" customHeight="1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</row>
    <row r="305" ht="15.75" customHeight="1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</row>
    <row r="306" ht="15.75" customHeight="1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</row>
    <row r="307" ht="15.75" customHeight="1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</row>
    <row r="308" ht="15.75" customHeight="1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</row>
    <row r="309" ht="15.75" customHeight="1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</row>
    <row r="310" ht="15.75" customHeight="1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</row>
    <row r="311" ht="15.75" customHeight="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</row>
    <row r="312" ht="15.75" customHeight="1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</row>
    <row r="313" ht="15.75" customHeight="1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</row>
    <row r="314" ht="15.75" customHeight="1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conditionalFormatting sqref="B114">
    <cfRule type="cellIs" dxfId="0" priority="1" operator="greaterThan">
      <formula>1</formula>
    </cfRule>
  </conditionalFormatting>
  <conditionalFormatting sqref="B114">
    <cfRule type="cellIs" dxfId="1" priority="2" operator="between">
      <formula>0.8</formula>
      <formula>1</formula>
    </cfRule>
  </conditionalFormatting>
  <conditionalFormatting sqref="B114">
    <cfRule type="cellIs" dxfId="2" priority="3" operator="lessThan">
      <formula>0.8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0.88"/>
    <col customWidth="1" min="2" max="2" width="75.75"/>
  </cols>
  <sheetData>
    <row r="1">
      <c r="A1" s="124" t="s">
        <v>186</v>
      </c>
      <c r="B1" s="125" t="s">
        <v>187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>
      <c r="A2" s="125"/>
      <c r="B2" s="125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>
      <c r="A3" s="124" t="s">
        <v>188</v>
      </c>
      <c r="B3" s="125" t="s">
        <v>189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>
      <c r="A5" s="126"/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>
      <c r="A6" s="124" t="s">
        <v>190</v>
      </c>
      <c r="B6" s="127" t="s">
        <v>191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>
      <c r="A7" s="126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>
      <c r="A8" s="124" t="s">
        <v>192</v>
      </c>
      <c r="B8" s="127" t="s">
        <v>193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>
      <c r="A9" s="126"/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>
      <c r="A10" s="124" t="s">
        <v>194</v>
      </c>
      <c r="B10" s="125" t="s">
        <v>195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>
      <c r="A11" s="124"/>
      <c r="B11" s="125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>
      <c r="A12" s="124" t="s">
        <v>109</v>
      </c>
      <c r="B12" s="125" t="s">
        <v>196</v>
      </c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>
      <c r="A13" s="124"/>
      <c r="B13" s="125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>
      <c r="A14" s="124" t="s">
        <v>115</v>
      </c>
      <c r="B14" s="125" t="s">
        <v>197</v>
      </c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>
      <c r="A15" s="126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>
      <c r="A16" s="124" t="s">
        <v>198</v>
      </c>
      <c r="B16" s="125" t="s">
        <v>199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>
      <c r="A17" s="126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>
      <c r="A18" s="124" t="s">
        <v>200</v>
      </c>
      <c r="B18" s="125" t="s">
        <v>201</v>
      </c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>
      <c r="A19" s="126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>
      <c r="A20" s="124" t="s">
        <v>202</v>
      </c>
      <c r="B20" s="125" t="s">
        <v>203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>
      <c r="A21" s="126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>
      <c r="A22" s="124" t="s">
        <v>204</v>
      </c>
      <c r="B22" s="125" t="s">
        <v>205</v>
      </c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>
      <c r="A23" s="126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>
      <c r="A24" s="12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>
      <c r="A25" s="126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>
      <c r="A26" s="12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>
      <c r="A28" s="126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>
      <c r="A31" s="12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>
      <c r="A32" s="12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hyperlinks>
    <hyperlink r:id="rId1" ref="B6"/>
    <hyperlink r:id="rId2" ref="B8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7.75"/>
    <col customWidth="1" min="2" max="2" width="54.5"/>
    <col customWidth="1" min="3" max="3" width="49.63"/>
    <col customWidth="1" min="4" max="4" width="44.5"/>
    <col customWidth="1" min="5" max="5" width="43.25"/>
    <col customWidth="1" min="6" max="6" width="46.38"/>
    <col customWidth="1" min="7" max="7" width="104.88"/>
  </cols>
  <sheetData>
    <row r="1">
      <c r="B1" s="128"/>
      <c r="C1" s="129"/>
      <c r="D1" s="129"/>
      <c r="E1" s="129"/>
      <c r="F1" s="129"/>
      <c r="G1" s="129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>
      <c r="A2" s="126"/>
      <c r="B2" s="130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>
      <c r="A3" s="126"/>
      <c r="B3" s="130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>
      <c r="A4" s="126"/>
      <c r="B4" s="130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>
      <c r="A5" s="129" t="s">
        <v>206</v>
      </c>
      <c r="B5" s="131" t="s">
        <v>207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>
      <c r="A6" s="126"/>
      <c r="B6" s="130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>
      <c r="A7" s="126"/>
      <c r="B7" s="130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>
      <c r="A9" s="126"/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>
      <c r="A10" s="126"/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>
      <c r="A11" s="126"/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>
      <c r="A12" s="126"/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>
      <c r="A13" s="126"/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>
      <c r="A14" s="126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>
      <c r="A15" s="126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>
      <c r="A16" s="126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>
      <c r="A17" s="126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>
      <c r="A18" s="126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>
      <c r="A19" s="126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>
      <c r="A20" s="126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>
      <c r="A21" s="126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>
      <c r="A22" s="126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>
      <c r="A23" s="126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>
      <c r="A24" s="12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>
      <c r="A25" s="126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>
      <c r="A26" s="12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>
      <c r="A28" s="126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>
      <c r="A31" s="12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>
      <c r="A32" s="12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</sheetData>
  <hyperlinks>
    <hyperlink r:id="rId1" ref="B5"/>
  </hyperlinks>
  <drawing r:id="rId2"/>
</worksheet>
</file>